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tabRatio="500"/>
  </bookViews>
  <sheets>
    <sheet name="Cover" sheetId="1" r:id="rId1"/>
    <sheet name="Test Cases" sheetId="2" r:id="rId2"/>
    <sheet name="Test Statistics" sheetId="3" r:id="rId3"/>
    <sheet name="Feature 1" sheetId="4" r:id="rId4"/>
    <sheet name="Feature 2" sheetId="5" r:id="rId5"/>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D10" authorId="0">
      <text>
        <r>
          <rPr>
            <sz val="10"/>
            <rFont val="Arial"/>
            <charset val="134"/>
          </rPr>
          <t xml:space="preserve">*A: Add
  M: Modify
  D: Delete
</t>
        </r>
      </text>
    </comment>
  </commentList>
</comments>
</file>

<file path=xl/comments2.xml><?xml version="1.0" encoding="utf-8"?>
<comments xmlns="http://schemas.openxmlformats.org/spreadsheetml/2006/main">
  <authors>
    <author>Unknown Author</author>
  </authors>
  <commentList>
    <comment ref="E10" authorId="0">
      <text>
        <r>
          <rPr>
            <sz val="10"/>
            <rFont val="Arial"/>
            <charset val="134"/>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authors>
    <author>Unknown Author</author>
  </authors>
  <commentList>
    <comment ref="E10" authorId="0">
      <text>
        <r>
          <rPr>
            <sz val="10"/>
            <rFont val="Arial"/>
            <charset val="134"/>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<sst xmlns="http://schemas.openxmlformats.org/spreadsheetml/2006/main" count="321" uniqueCount="182">
  <si>
    <t>TEST REPORT DOCUMENT</t>
  </si>
  <si>
    <t>Project Name</t>
  </si>
  <si>
    <t>Manga Management System</t>
  </si>
  <si>
    <t>Creator</t>
  </si>
  <si>
    <t>Trương Minh Nhật, Nguyễn Hoàng Thưởng</t>
  </si>
  <si>
    <t>Project Code</t>
  </si>
  <si>
    <t>MMS</t>
  </si>
  <si>
    <t>Issue Date</t>
  </si>
  <si>
    <t>&lt;Date when this test report is created&gt;</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</si>
  <si>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</si>
  <si>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</si>
  <si>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</si>
  <si>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</si>
  <si>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</si>
  <si>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</si>
  <si>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</si>
  <si>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</si>
  <si>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</si>
  <si>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</si>
  <si>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</si>
  <si>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</si>
  <si>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</si>
  <si>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</si>
  <si>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Function Name</t>
  </si>
  <si>
    <t>Sheet Name</t>
  </si>
  <si>
    <t>Description</t>
  </si>
  <si>
    <t>Pre-Condition</t>
  </si>
  <si>
    <t>Series Proposal</t>
  </si>
  <si>
    <t>Feature 1</t>
  </si>
  <si>
    <t>Test the full lifecycle of a Series Proposal, from creation as a Draft, through field validation and business rules (BR-15, BR-17, BR-19), to submission for review and voting by the Editorial Board.</t>
  </si>
  <si>
    <t>The user already has an account with the corresponding role (Mangaka/TantouEditor/EditorialBoard).</t>
  </si>
  <si>
    <t>Chapter Creation &amp; Assistant Task Workflow</t>
  </si>
  <si>
    <t>Feature 2</t>
  </si>
  <si>
    <t>Test the full lifecycle of a Chapter, from creation, assigning small drawing Tasks to an Assistant, the Assistant accepting the task and submitting work, the Mangaka approving/rejecting the work, up to calculating the Chapter's completion progress.</t>
  </si>
  <si>
    <t>The series already exists and is active; the Mangaka/Assistant/TantouEditor account is logged in.</t>
  </si>
  <si>
    <t>TEST STATISTICS</t>
  </si>
  <si>
    <t>Reviewer/Approver</t>
  </si>
  <si>
    <t>Notes</t>
  </si>
  <si>
    <t>&lt;List modules included in this release&gt; ex: Release 1 includes 2 modules: Module1 and Module2</t>
  </si>
  <si>
    <t>Module code</t>
  </si>
  <si>
    <t>Passed</t>
  </si>
  <si>
    <t>Failed</t>
  </si>
  <si>
    <t>Pending</t>
  </si>
  <si>
    <t>N/A</t>
  </si>
  <si>
    <t>Number of  test cases</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</si>
  <si>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</si>
  <si>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</si>
  <si>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</si>
  <si>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</si>
  <si>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</si>
  <si>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</si>
  <si>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</si>
  <si>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</si>
  <si>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</si>
  <si>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</si>
  <si>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</si>
  <si>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</si>
  <si>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</si>
  <si>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</si>
  <si>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</si>
  <si>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</si>
  <si>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</si>
  <si>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</si>
  <si>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</si>
  <si>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Test Cases</t>
  </si>
  <si>
    <t>TC-01</t>
  </si>
  <si>
    <t>Verify access control on the Create Proposal page (/series/new) when not logged in.</t>
  </si>
  <si>
    <t>1. Directly navigate to /series/new in the browser.</t>
  </si>
  <si>
    <t>The system blocks access and redirects the user to the login page /login.</t>
  </si>
  <si>
    <t>The user is not logged into the system.</t>
  </si>
  <si>
    <t>TC-02</t>
  </si>
  <si>
    <t>Verify access control on the Create Proposal page with a non-Mangaka account.</t>
  </si>
  <si>
    <t>1. Log in to the system with an Editor account.
2. Navigate to /series/new.</t>
  </si>
  <si>
    <t>The system displays an access error page (403/Forbidden), or hides the create-proposal menu and the Submit button.</t>
  </si>
  <si>
    <t>Logged in with an account belonging to a different role group (e.g. TantouEditor or Assistant).</t>
  </si>
  <si>
    <t>TC-03</t>
  </si>
  <si>
    <t>Verify required fields and default validation when clicking Submit on an empty form.</t>
  </si>
  <si>
    <t>1. Click directly on the Submit for Review button without entering any information.</t>
  </si>
  <si>
    <t>- The system does not allow the proposal to be submitted.
- All required fields (Title, Genre, Publication Type, Synopsis, Sample Pages) show a red warning border.
- Corresponding error messages are shown below each field: Title is required, Genre is required,...
- A toast notification appears: "Please fix validation errors".</t>
  </si>
  <si>
    <t>Logged in as Mangaka. Currently on the /series/new page. No information entered yet.</t>
  </si>
  <si>
    <t>BR-15</t>
  </si>
  <si>
    <t>TC-04</t>
  </si>
  <si>
    <t>Verify minimum-length validation for Synopsis (&lt; 200 characters).</t>
  </si>
  <si>
    <t>1. Enter a valid title.
2. Select genre and publication type.
3. Enter a Synopsis shorter than 200 characters (e.g. 100 characters).
4. Click Submit for Review.</t>
  </si>
  <si>
    <t>- The system shows the Synopsis length progress bar in yellow/amber with a character counter such as (100/2000, min 200).
- An error message is shown below the Synopsis field: "Synopsis must be ≥ 200 characters".
- Submission is not allowed.</t>
  </si>
  <si>
    <t>Logged in as Mangaka. Currently on the /series/new page.</t>
  </si>
  <si>
    <t>TC-05</t>
  </si>
  <si>
    <t>Verify maximum-length validation for Synopsis (&gt; 2000 characters).</t>
  </si>
  <si>
    <t>1. Enter a Synopsis exceeding 2000 characters (e.g. 2050 characters).
2. Click Submit for Review.</t>
  </si>
  <si>
    <t>- The system limits input or shows the error: "Synopsis must be ≤ 2000 characters".
- The progress bar turns red to indicate the error.
- Submission is not allowed.</t>
  </si>
  <si>
    <t>TC-06</t>
  </si>
  <si>
    <t>Verify Sample Pages validation for fewer than 5 pages.</t>
  </si>
  <si>
    <t>1. Fill in all other information validly.
2. Enter the number of Sample Pages as 3 (default minimum is 5).
3. Click Submit for Review.</t>
  </si>
  <si>
    <t>- The system shows a red warning error on the page-count field: "Must have ≥ 5 sample pages".
- Submission is not allowed.</t>
  </si>
  <si>
    <t>TC-07</t>
  </si>
  <si>
    <t>Verify the business rule for a duplicate name of an active Series (BR-17).</t>
  </si>
  <si>
    <t>1. Enter a Title for the new proposal that exactly matches: "Manga Test Active".
2. Fill in the other required information validly.
3. Click Submit for Review.</t>
  </si>
  <si>
    <t>- The system checks for and detects the duplication.
- An error message is shown below the Title field: "Title 'Manga Test Active' is already used by an active series".
- Creating the proposal is not allowed.</t>
  </si>
  <si>
    <t>Logged in as Mangaka. A series named "Manga Test Active" already exists with status Active in the system.</t>
  </si>
  <si>
    <t>BR-17</t>
  </si>
  <si>
    <t>TC-08</t>
  </si>
  <si>
    <t>Verify the business rule limiting to 1 pending proposal at a time (BR-19).</t>
  </si>
  <si>
    <t>1. Navigate to the new proposal creation page /series/new.</t>
  </si>
  <si>
    <t>- The system detects that the Mangaka already has a pending proposal.
- A yellow warning banner is displayed above the form.
- Both the Save Draft and Submit for Review buttons are disabled to prevent clicking.</t>
  </si>
  <si>
    <t>The Mangaka account already has at least 1 proposal in status Pending Review or Under Review in the system.</t>
  </si>
  <si>
    <t>BR-19</t>
  </si>
  <si>
    <t>TC-09</t>
  </si>
  <si>
    <t>Verify the Save Draft function.</t>
  </si>
  <si>
    <t>1. Enter the title of the new proposal.
2. Click the Save Draft button (other fields can be left blank or partially filled).</t>
  </si>
  <si>
    <t>- The system does NOT validate length or required-field rules.
- The proposal is saved successfully to the database with status Draft (gray).
- A success toast appears: "Proposal saved as draft".
- The user is redirected to the proposal list page /series.</t>
  </si>
  <si>
    <t>Logged in as Mangaka. Does not violate rule BR-19.</t>
  </si>
  <si>
    <t>TC-10</t>
  </si>
  <si>
    <t>Verify successful proposal submission (Submit for Review - Happy Path).</t>
  </si>
  <si>
    <t>1. Fill in the form completely and validly.
2. Click Submit for Review.
3. Wait for the system to process.</t>
  </si>
  <si>
    <t>- A loading spinner appears.
- The proposal is created successfully with status Pending Review (yellow).
- The system creates a corresponding voting session (Decision) of type "Series Approval" in the database.
- A notification is sent to all members of the Editorial Board.
- A success toast is shown: "Proposal submitted for board review!".
- The user is redirected to the proposal list page /series.</t>
  </si>
  <si>
    <t>Logged in as Mangaka. Does not violate rule BR-19. All fields are filled in completely and validly per BR-15 and BR-17.</t>
  </si>
  <si>
    <t>Happy path</t>
  </si>
  <si>
    <t>TC-11</t>
  </si>
  <si>
    <t>Verify error handling for a simulated network failure during Submit.</t>
  </si>
  <si>
    <t>1. Click Submit for Review repeatedly until the simulated network failure case occurs (30% simulated failure probability).</t>
  </si>
  <si>
    <t>- The spinner appears for about 1 second.
- The system shows an error toast: "Connection error or timeout. Please try again!".
- The form retains the entered data so the user can retry.</t>
  </si>
  <si>
    <t>Logged in as Mangaka. Form filled in validly.</t>
  </si>
  <si>
    <t>TC-12</t>
  </si>
  <si>
    <t>Verify the lead editor (TantouEditor) opens a voting session for a proposal.</t>
  </si>
  <si>
    <t>1. Navigate to the proposal list on the Editor's dashboard.
2. Select a proposal and click Start Review (open voting).</t>
  </si>
  <si>
    <t>- The proposal status changes to Under Review.
- The voting session is activated and appears on the Editorial Board members' dashboards so voting can begin.</t>
  </si>
  <si>
    <t>Logged in as TantouEditor. A proposal exists with status Pending Review.</t>
  </si>
  <si>
    <t>TC-13</t>
  </si>
  <si>
    <t>Verify an Editorial Board member casting a Vote.</t>
  </si>
  <si>
    <t>1. Navigate to the Voting page.
2. Select a proposal.
3. Choose a vote option (Approve or Reject) with a required comment.
4. Click Submit Vote.</t>
  </si>
  <si>
    <t>- The system records the vote successfully.
- A vote confirmation message is displayed.
- The voting button is hidden for this member to prevent voting twice.</t>
  </si>
  <si>
    <t>Logged in as EditorialBoard. A proposal exists with status Under Review.</t>
  </si>
  <si>
    <t>TC-14</t>
  </si>
  <si>
    <t>Verify finalizing the board decision (Finalize Board Decision).</t>
  </si>
  <si>
    <t>1. Navigate to the proposal detail page.
2. Click Finalize Decision.</t>
  </si>
  <si>
    <t>- The system automatically tallies the results (e.g. Approve votes ≥ minimum required -&gt; Approved).
- The proposal status changes to Approved (or Rejected depending on the vote outcome).
- A new Series entity is created with status Draft in the system if approved.</t>
  </si>
  <si>
    <t>Logged in as TantouEditor. The proposal has reached the minimum required number of board votes.</t>
  </si>
  <si>
    <t>TC-15</t>
  </si>
  <si>
    <t>Verify the Mangaka successfully creates a new Chapter.</t>
  </si>
  <si>
    <t>1. Click the Create Chapter button.
2. Enter the chapter title.
3. (Optional) Manually enter the chapter number.
4. Click Save.</t>
  </si>
  <si>
    <t>- The new chapter is created successfully with the default status Draft.
- If no chapter number is entered, the system automatically assigns the next number (e.g. CH01 -&gt; CH02).
- The new chapter appears in the list.</t>
  </si>
  <si>
    <t>Logged in as Mangaka. Managing an active Series.</t>
  </si>
  <si>
    <t>TC-16</t>
  </si>
  <si>
    <t>Verify the Mangaka creates a Task and assigns it to an Assistant.</t>
  </si>
  <si>
    <t>1. On the chapter to assign work, select Create Task.
2. Enter the task title (e.g. "Draw the living room background").
3. Select an Assistant from the dropdown list to assign the task.
4. Click Create.</t>
  </si>
  <si>
    <t>- The task is created with the initial status Pending (awaiting acceptance).
- The chapter status automatically changes from Draft to In Progress.
- The assigned Assistant's name is clearly shown on the task's information.</t>
  </si>
  <si>
    <t>Logged in as Mangaka. A chapter has just been created.</t>
  </si>
  <si>
    <t>TC-17</t>
  </si>
  <si>
    <t>Verify the Assistant views and accepts the assigned task.</t>
  </si>
  <si>
    <t>1. Navigate to the task list page (/chapters or the Assistant's dashboard).
2. Find a task with status Pending.
3. Click the Accept Task button.</t>
  </si>
  <si>
    <t>- The task status changes from Pending to In-Progress.
- The system updates the acceptance time, and the Assistant's number of in-progress tasks increases.</t>
  </si>
  <si>
    <t>Logged in as the Assistant assigned the task in TC-16.</t>
  </si>
  <si>
    <t>TC-18</t>
  </si>
  <si>
    <t>Verify the Assistant submits completed work.</t>
  </si>
  <si>
    <t>1. Click the Submit Work button on the corresponding task.
2. Paste the link to the completed image result.
3. Click Submit.</t>
  </si>
  <si>
    <t>- The task status changes to Submitted (awaiting review).
- The product link is displayed correctly so the Mangaka can access and review it.
- The Assistant's number of in-progress tasks is updated (decreased).</t>
  </si>
  <si>
    <t>Logged in as Assistant. A task exists with status In-Progress.</t>
  </si>
  <si>
    <t>TC-19</t>
  </si>
  <si>
    <t>Verify the Mangaka rejects the Assistant's submitted work (Reject).</t>
  </si>
  <si>
    <t>1. View the task details and click the product link to review.
2. Click Reject.
3. Enter feedback for the rejection reason (e.g. "Background color is a bit dark, please redraw it brighter").
4. Click Confirm.</t>
  </si>
  <si>
    <t>- The task status changes to Rejected.
- The Mangaka's feedback is clearly displayed on the task information for the Assistant to see.
- The chapter status remains In Progress.</t>
  </si>
  <si>
    <t>Logged in as Mangaka. A task from the Assistant has been submitted with status Submitted.</t>
  </si>
  <si>
    <t>TC-20</t>
  </si>
  <si>
    <t>Verify the Assistant reworks and resubmits a rejected task.</t>
  </si>
  <si>
    <t>1. Read the Mangaka's feedback.
2. Make the required changes to the work.
3. Click Resubmit Work, update the new product link, and submit.</t>
  </si>
  <si>
    <t>- The task status changes from Rejected back to Submitted.
- The product link is updated with the new one.
- A re-review request is sent to the Mangaka.</t>
  </si>
  <si>
    <t>Logged in as Assistant. A task exists with status Rejected.</t>
  </si>
  <si>
    <t>TC-21</t>
  </si>
  <si>
    <t>Verify the Mangaka approves the Assistant's submitted work (Approve).</t>
  </si>
  <si>
    <t>1. Review the product and click Approve.</t>
  </si>
  <si>
    <t>- The task status changes to Approved.
- The chapter's progress percentage automatically increases based on the weight of the approved task.
- A congratulatory success toast is displayed.</t>
  </si>
  <si>
    <t>Logged in as Mangaka. A task exists with status Submitted.</t>
  </si>
  <si>
    <t>TC-22</t>
  </si>
  <si>
    <t>Verify the chapter status updates once all tasks are approved.</t>
  </si>
  <si>
    <t>1. Check the overall chapter status on the Dashboard.</t>
  </si>
  <si>
    <t>- The chapter's progress reaches 100%.
- The chapter status automatically changes to Ready for Editor, ready to be sent to the lead editor for overall review.</t>
  </si>
  <si>
    <t>Logged in as Mangaka. All tasks belonging to the current chapter have been changed to Approved.</t>
  </si>
  <si>
    <t>TC-23</t>
  </si>
  <si>
    <t>Verify the lead editor (TantouEditor) views chapter progress and writes feedback.</t>
  </si>
  <si>
    <t>1. Navigate to the Editor's chapter management page.
2. View the list of drawn products for the chapter.
3. Write review notes/comments (Annotation/Comment) directly on the page.</t>
  </si>
  <si>
    <t>- The editor's feedback notes are saved successfully.
- The feedback status is displayed so the Mangaka can read it and make the necessary revisions before publishing (Published).</t>
  </si>
  <si>
    <t>Logged in as TantouEditor. A chapter belonging to a managed series exists with status Ready for Editor.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</si>
</sst>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mm\-yy;@"/>
  </numFmts>
  <fonts count="40">
    <font>
      <sz val="11"/>
      <name val="ＭＳ Ｐゴシック"/>
      <charset val="128"/>
    </font>
    <font>
      <sz val="10"/>
      <color rgb="FF000000"/>
      <name val="Tahoma"/>
      <charset val="1"/>
    </font>
    <font>
      <sz val="10"/>
      <name val="Tahoma"/>
      <charset val="1"/>
    </font>
    <font>
      <sz val="10"/>
      <color rgb="FFFF0000"/>
      <name val="Tahoma"/>
      <charset val="1"/>
    </font>
    <font>
      <b/>
      <sz val="10"/>
      <name val="Tahoma"/>
      <charset val="1"/>
    </font>
    <font>
      <i/>
      <sz val="10"/>
      <color rgb="FF008000"/>
      <name val="Tahoma"/>
      <charset val="1"/>
    </font>
    <font>
      <b/>
      <i/>
      <sz val="10"/>
      <name val="Tahoma"/>
      <charset val="1"/>
    </font>
    <font>
      <b/>
      <sz val="10"/>
      <color rgb="FF000000"/>
      <name val="Tahoma"/>
      <charset val="1"/>
    </font>
    <font>
      <b/>
      <sz val="10"/>
      <color rgb="FFFFFFFF"/>
      <name val="Tahoma"/>
      <charset val="1"/>
    </font>
    <font>
      <b/>
      <sz val="10"/>
      <color rgb="FFFF0000"/>
      <name val="Tahoma"/>
      <charset val="1"/>
    </font>
    <font>
      <b/>
      <sz val="20"/>
      <color rgb="FF000000"/>
      <name val="Tahoma"/>
      <charset val="1"/>
    </font>
    <font>
      <b/>
      <sz val="10"/>
      <color rgb="FF993300"/>
      <name val="Tahoma"/>
      <charset val="1"/>
    </font>
    <font>
      <sz val="10"/>
      <color rgb="FFFFFFFF"/>
      <name val="Tahoma"/>
      <charset val="1"/>
    </font>
    <font>
      <b/>
      <sz val="10"/>
      <color rgb="FF0000FF"/>
      <name val="Tahoma"/>
      <charset val="1"/>
    </font>
    <font>
      <u/>
      <sz val="11"/>
      <color rgb="FF0000FF"/>
      <name val="ＭＳ Ｐゴシック"/>
      <charset val="128"/>
    </font>
    <font>
      <u/>
      <sz val="10"/>
      <color rgb="FF0000FF"/>
      <name val="Tahoma"/>
      <charset val="1"/>
    </font>
    <font>
      <b/>
      <sz val="26"/>
      <color rgb="FFFF0000"/>
      <name val="Tahoma"/>
      <charset val="1"/>
    </font>
    <font>
      <i/>
      <sz val="10"/>
      <name val="Tahoma"/>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ＭＳ ゴシック"/>
      <charset val="128"/>
    </font>
    <font>
      <sz val="10"/>
      <name val="Arial"/>
      <charset val="134"/>
    </font>
  </fonts>
  <fills count="38">
    <fill>
      <patternFill patternType="none"/>
    </fill>
    <fill>
      <patternFill patternType="gray125"/>
    </fill>
    <fill>
      <patternFill patternType="solid">
        <fgColor rgb="FFFFFFFF"/>
        <bgColor rgb="FFFFFFCC"/>
      </patternFill>
    </fill>
    <fill>
      <patternFill patternType="solid">
        <fgColor theme="6" tint="-0.249977111117893"/>
        <bgColor rgb="FF808080"/>
      </patternFill>
    </fill>
    <fill>
      <patternFill patternType="solid">
        <fgColor rgb="FFCCFFFF"/>
        <bgColor rgb="FFCCFFFF"/>
      </patternFill>
    </fill>
    <fill>
      <patternFill patternType="solid">
        <fgColor rgb="FF000080"/>
        <bgColor rgb="FF000080"/>
      </patternFill>
    </fill>
    <fill>
      <patternFill patternType="solid">
        <fgColor rgb="FF333399"/>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thin">
        <color auto="1"/>
      </left>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3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3" applyNumberFormat="0" applyFill="0" applyAlignment="0" applyProtection="0">
      <alignment vertical="center"/>
    </xf>
    <xf numFmtId="0" fontId="25" fillId="0" borderId="33" applyNumberFormat="0" applyFill="0" applyAlignment="0" applyProtection="0">
      <alignment vertical="center"/>
    </xf>
    <xf numFmtId="0" fontId="26" fillId="0" borderId="34" applyNumberFormat="0" applyFill="0" applyAlignment="0" applyProtection="0">
      <alignment vertical="center"/>
    </xf>
    <xf numFmtId="0" fontId="26" fillId="0" borderId="0" applyNumberFormat="0" applyFill="0" applyBorder="0" applyAlignment="0" applyProtection="0">
      <alignment vertical="center"/>
    </xf>
    <xf numFmtId="0" fontId="27" fillId="8" borderId="35" applyNumberFormat="0" applyAlignment="0" applyProtection="0">
      <alignment vertical="center"/>
    </xf>
    <xf numFmtId="0" fontId="28" fillId="9" borderId="36" applyNumberFormat="0" applyAlignment="0" applyProtection="0">
      <alignment vertical="center"/>
    </xf>
    <xf numFmtId="0" fontId="29" fillId="9" borderId="35" applyNumberFormat="0" applyAlignment="0" applyProtection="0">
      <alignment vertical="center"/>
    </xf>
    <xf numFmtId="0" fontId="30" fillId="10" borderId="37" applyNumberFormat="0" applyAlignment="0" applyProtection="0">
      <alignment vertical="center"/>
    </xf>
    <xf numFmtId="0" fontId="31" fillId="0" borderId="38" applyNumberFormat="0" applyFill="0" applyAlignment="0" applyProtection="0">
      <alignment vertical="center"/>
    </xf>
    <xf numFmtId="0" fontId="32" fillId="0" borderId="39"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xf numFmtId="0" fontId="38" fillId="0" borderId="0"/>
  </cellStyleXfs>
  <cellXfs count="130">
    <xf numFmtId="0" fontId="0" fillId="0" borderId="0" xfId="0"/>
    <xf numFmtId="0" fontId="1" fillId="2" borderId="0" xfId="0" applyFont="1" applyFill="1" applyAlignment="1"/>
    <xf numFmtId="0" fontId="1" fillId="2" borderId="0" xfId="0" applyFont="1" applyFill="1" applyAlignment="1">
      <alignment vertical="top"/>
    </xf>
    <xf numFmtId="0" fontId="2" fillId="2" borderId="0" xfId="0" applyFont="1" applyFill="1" applyAlignment="1"/>
    <xf numFmtId="0" fontId="3" fillId="2" borderId="0" xfId="0" applyFont="1" applyFill="1" applyAlignment="1"/>
    <xf numFmtId="0" fontId="4" fillId="2" borderId="1" xfId="0" applyFont="1" applyFill="1" applyBorder="1" applyAlignment="1">
      <alignment horizontal="center" vertical="top" wrapText="1"/>
    </xf>
    <xf numFmtId="0" fontId="2" fillId="2" borderId="2" xfId="0" applyFont="1" applyFill="1" applyBorder="1" applyAlignment="1">
      <alignment horizontal="left" vertical="top" wrapText="1"/>
    </xf>
    <xf numFmtId="0" fontId="5" fillId="2" borderId="0" xfId="0" applyFont="1" applyFill="1" applyAlignment="1">
      <alignment wrapText="1"/>
    </xf>
    <xf numFmtId="0" fontId="5" fillId="2" borderId="0" xfId="0" applyFont="1" applyFill="1" applyAlignment="1">
      <alignment horizontal="left" wrapText="1"/>
    </xf>
    <xf numFmtId="0" fontId="2" fillId="2" borderId="0" xfId="0" applyFont="1" applyFill="1" applyAlignment="1">
      <alignment wrapText="1"/>
    </xf>
    <xf numFmtId="0" fontId="4" fillId="2" borderId="3" xfId="0" applyFont="1" applyFill="1" applyBorder="1" applyAlignment="1">
      <alignment horizontal="center" vertical="top" wrapText="1"/>
    </xf>
    <xf numFmtId="0" fontId="2" fillId="2" borderId="4" xfId="0" applyFont="1" applyFill="1" applyBorder="1" applyAlignment="1">
      <alignment horizontal="left" vertical="top" wrapText="1"/>
    </xf>
    <xf numFmtId="0" fontId="6" fillId="2" borderId="3"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top" wrapText="1"/>
    </xf>
    <xf numFmtId="0" fontId="7" fillId="2" borderId="0" xfId="0" applyFont="1" applyFill="1" applyAlignment="1">
      <alignment horizontal="center" vertical="center" wrapText="1"/>
    </xf>
    <xf numFmtId="0" fontId="2" fillId="2" borderId="0" xfId="0" applyFont="1" applyFill="1" applyAlignment="1">
      <alignment horizontal="center"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1" fillId="2" borderId="0" xfId="0" applyFont="1" applyFill="1" applyAlignment="1">
      <alignment horizontal="center" vertical="center" wrapText="1"/>
    </xf>
    <xf numFmtId="0" fontId="6"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0" fontId="1" fillId="2" borderId="0" xfId="0" applyFont="1" applyFill="1" applyAlignment="1">
      <alignment horizontal="center" wrapText="1"/>
    </xf>
    <xf numFmtId="0" fontId="8" fillId="3" borderId="4" xfId="0" applyFont="1" applyFill="1" applyBorder="1" applyAlignment="1">
      <alignment horizontal="center" vertical="center" wrapText="1"/>
    </xf>
    <xf numFmtId="0" fontId="4" fillId="4" borderId="9" xfId="0" applyFont="1" applyFill="1" applyBorder="1" applyAlignment="1">
      <alignment horizontal="left" vertical="center"/>
    </xf>
    <xf numFmtId="0" fontId="4" fillId="4" borderId="10" xfId="0" applyFont="1" applyFill="1" applyBorder="1" applyAlignment="1">
      <alignment horizontal="left" vertical="center"/>
    </xf>
    <xf numFmtId="0" fontId="2" fillId="2" borderId="4" xfId="0" applyFont="1" applyFill="1" applyBorder="1" applyAlignment="1">
      <alignment vertical="top" wrapText="1"/>
    </xf>
    <xf numFmtId="0" fontId="1" fillId="2" borderId="4" xfId="0" applyFont="1" applyFill="1" applyBorder="1" applyAlignment="1">
      <alignment horizontal="left" vertical="top" wrapText="1"/>
    </xf>
    <xf numFmtId="0" fontId="4" fillId="4" borderId="11" xfId="0" applyFont="1" applyFill="1" applyBorder="1" applyAlignment="1">
      <alignment horizontal="left" vertical="center"/>
    </xf>
    <xf numFmtId="0" fontId="3" fillId="2" borderId="0" xfId="0" applyFont="1" applyFill="1" applyAlignment="1">
      <alignment wrapText="1"/>
    </xf>
    <xf numFmtId="0" fontId="3" fillId="2" borderId="0" xfId="0" applyFont="1" applyFill="1" applyAlignment="1">
      <alignment horizontal="center" wrapText="1"/>
    </xf>
    <xf numFmtId="0" fontId="9" fillId="2" borderId="0" xfId="0" applyFont="1" applyFill="1" applyAlignment="1">
      <alignment horizontal="center" vertical="center" wrapText="1"/>
    </xf>
    <xf numFmtId="0" fontId="9" fillId="2" borderId="0" xfId="0" applyFont="1" applyFill="1" applyAlignment="1">
      <alignment horizontal="left" vertical="center"/>
    </xf>
    <xf numFmtId="0" fontId="3" fillId="2" borderId="0" xfId="0" applyFont="1" applyFill="1" applyAlignment="1">
      <alignment vertical="top" wrapText="1"/>
    </xf>
    <xf numFmtId="0" fontId="10" fillId="2" borderId="0" xfId="0" applyFont="1" applyFill="1" applyBorder="1" applyAlignment="1">
      <alignment horizontal="center"/>
    </xf>
    <xf numFmtId="0" fontId="4" fillId="2" borderId="0" xfId="0" applyFont="1" applyFill="1" applyAlignment="1"/>
    <xf numFmtId="178" fontId="2" fillId="2" borderId="0" xfId="0" applyNumberFormat="1" applyFont="1" applyFill="1" applyAlignment="1"/>
    <xf numFmtId="0" fontId="11" fillId="2" borderId="4" xfId="0" applyFont="1" applyFill="1" applyBorder="1" applyAlignment="1">
      <alignment horizontal="left" vertical="center"/>
    </xf>
    <xf numFmtId="0" fontId="5" fillId="2" borderId="4" xfId="0" applyFont="1" applyFill="1" applyBorder="1" applyAlignment="1">
      <alignment horizontal="left"/>
    </xf>
    <xf numFmtId="0" fontId="11" fillId="2" borderId="4" xfId="0" applyFont="1" applyFill="1" applyBorder="1" applyAlignment="1">
      <alignment horizontal="left"/>
    </xf>
    <xf numFmtId="0" fontId="11" fillId="2" borderId="12" xfId="0" applyFont="1" applyFill="1" applyBorder="1" applyAlignment="1">
      <alignment horizontal="left"/>
    </xf>
    <xf numFmtId="0" fontId="2" fillId="2" borderId="12" xfId="0" applyFont="1" applyFill="1" applyBorder="1" applyAlignment="1">
      <alignment vertical="top"/>
    </xf>
    <xf numFmtId="0" fontId="11" fillId="2" borderId="4" xfId="0" applyFont="1" applyFill="1" applyBorder="1" applyAlignment="1">
      <alignment vertical="center"/>
    </xf>
    <xf numFmtId="0" fontId="5" fillId="2" borderId="12" xfId="0" applyFont="1" applyFill="1" applyBorder="1" applyAlignment="1">
      <alignment vertical="top"/>
    </xf>
    <xf numFmtId="0" fontId="5" fillId="2" borderId="4" xfId="0" applyFont="1" applyFill="1" applyBorder="1" applyAlignment="1">
      <alignment vertical="top"/>
    </xf>
    <xf numFmtId="0" fontId="11" fillId="2" borderId="0" xfId="0" applyFont="1" applyFill="1" applyAlignment="1"/>
    <xf numFmtId="0" fontId="5" fillId="2" borderId="0" xfId="0" applyFont="1" applyFill="1" applyAlignment="1"/>
    <xf numFmtId="0" fontId="2" fillId="2" borderId="13" xfId="0" applyFont="1" applyFill="1" applyBorder="1" applyAlignment="1"/>
    <xf numFmtId="0" fontId="8" fillId="5" borderId="14" xfId="0" applyFont="1" applyFill="1" applyBorder="1" applyAlignment="1">
      <alignment horizontal="center"/>
    </xf>
    <xf numFmtId="0" fontId="8" fillId="5" borderId="15" xfId="0" applyFont="1" applyFill="1" applyBorder="1" applyAlignment="1">
      <alignment horizontal="center"/>
    </xf>
    <xf numFmtId="0" fontId="8" fillId="5" borderId="15" xfId="0" applyFont="1" applyFill="1" applyBorder="1" applyAlignment="1">
      <alignment horizontal="center" wrapText="1"/>
    </xf>
    <xf numFmtId="0" fontId="8" fillId="5" borderId="16" xfId="0" applyFont="1" applyFill="1" applyBorder="1" applyAlignment="1">
      <alignment horizontal="center"/>
    </xf>
    <xf numFmtId="0" fontId="8" fillId="5" borderId="17" xfId="0" applyFont="1" applyFill="1" applyBorder="1" applyAlignment="1">
      <alignment horizontal="center" wrapText="1"/>
    </xf>
    <xf numFmtId="0" fontId="2" fillId="2" borderId="18" xfId="0" applyFont="1" applyFill="1" applyBorder="1" applyAlignment="1">
      <alignment horizontal="center"/>
    </xf>
    <xf numFmtId="0" fontId="2" fillId="2" borderId="19" xfId="0" applyFont="1" applyFill="1" applyBorder="1" applyAlignment="1"/>
    <xf numFmtId="0" fontId="2" fillId="2" borderId="19" xfId="0"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0" fontId="12" fillId="5" borderId="22" xfId="0" applyFont="1" applyFill="1" applyBorder="1" applyAlignment="1">
      <alignment horizontal="center"/>
    </xf>
    <xf numFmtId="0" fontId="8" fillId="5" borderId="23" xfId="0" applyFont="1" applyFill="1" applyBorder="1" applyAlignment="1"/>
    <xf numFmtId="0" fontId="12" fillId="5" borderId="23" xfId="0" applyFont="1" applyFill="1" applyBorder="1" applyAlignment="1">
      <alignment horizontal="center"/>
    </xf>
    <xf numFmtId="0" fontId="12" fillId="5" borderId="24"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11" fillId="2" borderId="0" xfId="0" applyFont="1" applyFill="1" applyAlignment="1">
      <alignment horizontal="left"/>
    </xf>
    <xf numFmtId="2" fontId="13" fillId="2" borderId="0" xfId="0" applyNumberFormat="1" applyFont="1" applyFill="1" applyAlignment="1">
      <alignment horizontal="right" wrapText="1"/>
    </xf>
    <xf numFmtId="0" fontId="2" fillId="2" borderId="0" xfId="0" applyFont="1" applyFill="1" applyAlignment="1">
      <alignment vertical="center"/>
    </xf>
    <xf numFmtId="0" fontId="4" fillId="2" borderId="0" xfId="0" applyFont="1" applyFill="1" applyAlignment="1">
      <alignment horizontal="center"/>
    </xf>
    <xf numFmtId="1" fontId="2" fillId="2" borderId="0" xfId="0" applyNumberFormat="1" applyFont="1" applyFill="1" applyAlignment="1"/>
    <xf numFmtId="0" fontId="2" fillId="2" borderId="0" xfId="0" applyFont="1" applyFill="1" applyAlignment="1">
      <alignment horizontal="left"/>
    </xf>
    <xf numFmtId="1" fontId="2" fillId="2" borderId="0" xfId="0" applyNumberFormat="1" applyFont="1" applyFill="1" applyAlignment="1" applyProtection="1">
      <protection hidden="1"/>
    </xf>
    <xf numFmtId="0" fontId="10" fillId="2" borderId="0" xfId="0" applyFont="1" applyFill="1" applyAlignment="1">
      <alignment horizontal="left"/>
    </xf>
    <xf numFmtId="0" fontId="7" fillId="2" borderId="0" xfId="0" applyFont="1" applyFill="1" applyAlignment="1">
      <alignment horizontal="left"/>
    </xf>
    <xf numFmtId="0" fontId="9" fillId="2" borderId="0" xfId="0" applyFont="1" applyFill="1" applyAlignment="1">
      <alignment horizontal="left"/>
    </xf>
    <xf numFmtId="1" fontId="11" fillId="2" borderId="25" xfId="0" applyNumberFormat="1" applyFont="1" applyFill="1" applyBorder="1" applyAlignment="1"/>
    <xf numFmtId="1" fontId="11" fillId="2" borderId="4" xfId="0" applyNumberFormat="1" applyFont="1" applyFill="1" applyBorder="1" applyAlignment="1">
      <alignment vertical="center" wrapText="1"/>
    </xf>
    <xf numFmtId="0" fontId="5" fillId="2" borderId="4" xfId="0" applyFont="1" applyFill="1" applyBorder="1" applyAlignment="1">
      <alignment vertical="top" wrapText="1"/>
    </xf>
    <xf numFmtId="1" fontId="11" fillId="2" borderId="0" xfId="0" applyNumberFormat="1" applyFont="1" applyFill="1" applyAlignment="1"/>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1" fontId="8" fillId="6" borderId="26" xfId="0" applyNumberFormat="1" applyFont="1" applyFill="1" applyBorder="1" applyAlignment="1">
      <alignment horizontal="center" vertical="center"/>
    </xf>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27" xfId="0" applyFont="1" applyFill="1" applyBorder="1" applyAlignment="1">
      <alignment horizontal="center" vertical="center"/>
    </xf>
    <xf numFmtId="1" fontId="2" fillId="2" borderId="28" xfId="0" applyNumberFormat="1" applyFont="1" applyFill="1" applyBorder="1" applyAlignment="1">
      <alignment vertical="center"/>
    </xf>
    <xf numFmtId="49" fontId="2" fillId="2" borderId="19" xfId="0" applyNumberFormat="1" applyFont="1" applyFill="1" applyBorder="1" applyAlignment="1">
      <alignment horizontal="left" vertical="center"/>
    </xf>
    <xf numFmtId="0" fontId="14" fillId="2" borderId="19" xfId="0" applyFont="1" applyFill="1" applyBorder="1" applyAlignment="1">
      <alignment horizontal="left" vertical="center"/>
    </xf>
    <xf numFmtId="0" fontId="15" fillId="2" borderId="19" xfId="0" applyFont="1" applyFill="1" applyBorder="1" applyAlignment="1">
      <alignment horizontal="left" vertical="center"/>
    </xf>
    <xf numFmtId="0" fontId="2" fillId="2" borderId="29" xfId="0" applyFont="1" applyFill="1" applyBorder="1" applyAlignment="1">
      <alignment horizontal="left" vertical="center"/>
    </xf>
    <xf numFmtId="0" fontId="2" fillId="2" borderId="19" xfId="0" applyFont="1" applyFill="1" applyBorder="1" applyAlignment="1">
      <alignment horizontal="left" vertical="center"/>
    </xf>
    <xf numFmtId="1" fontId="2" fillId="2" borderId="30" xfId="0" applyNumberFormat="1" applyFont="1" applyFill="1" applyBorder="1" applyAlignment="1">
      <alignment vertical="center"/>
    </xf>
    <xf numFmtId="49" fontId="2" fillId="2" borderId="23" xfId="0" applyNumberFormat="1" applyFont="1" applyFill="1" applyBorder="1" applyAlignment="1">
      <alignment horizontal="left" vertical="center"/>
    </xf>
    <xf numFmtId="0" fontId="2" fillId="2" borderId="23" xfId="0" applyFont="1" applyFill="1" applyBorder="1" applyAlignment="1">
      <alignment horizontal="left" vertical="center"/>
    </xf>
    <xf numFmtId="0" fontId="2" fillId="2" borderId="31" xfId="0" applyFont="1" applyFill="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top"/>
    </xf>
    <xf numFmtId="0" fontId="2" fillId="0" borderId="0" xfId="0" applyFont="1" applyAlignment="1">
      <alignment horizontal="left" indent="1"/>
    </xf>
    <xf numFmtId="0" fontId="2" fillId="0" borderId="0" xfId="0" applyFont="1" applyAlignment="1"/>
    <xf numFmtId="0" fontId="16" fillId="0" borderId="25" xfId="0" applyFont="1" applyBorder="1" applyAlignment="1">
      <alignment horizontal="center" vertical="center"/>
    </xf>
    <xf numFmtId="0" fontId="10" fillId="0" borderId="4" xfId="0" applyFont="1" applyBorder="1" applyAlignment="1">
      <alignment horizontal="center" vertical="center"/>
    </xf>
    <xf numFmtId="0" fontId="11" fillId="2" borderId="0" xfId="0" applyFont="1" applyFill="1" applyAlignment="1">
      <alignment horizontal="left" indent="1"/>
    </xf>
    <xf numFmtId="0" fontId="5" fillId="0" borderId="0" xfId="0" applyFont="1" applyAlignment="1">
      <alignment horizontal="left" indent="1"/>
    </xf>
    <xf numFmtId="0" fontId="4" fillId="2" borderId="4" xfId="0" applyFont="1" applyFill="1" applyBorder="1" applyAlignment="1">
      <alignment horizontal="left"/>
    </xf>
    <xf numFmtId="0" fontId="17" fillId="0" borderId="4" xfId="0" applyFont="1" applyBorder="1" applyAlignment="1">
      <alignment horizontal="left"/>
    </xf>
    <xf numFmtId="0" fontId="2" fillId="0" borderId="12" xfId="0" applyFont="1" applyBorder="1" applyAlignment="1"/>
    <xf numFmtId="0" fontId="17" fillId="0" borderId="12" xfId="0" applyFont="1" applyBorder="1" applyAlignment="1"/>
    <xf numFmtId="0" fontId="4" fillId="2" borderId="4" xfId="0" applyFont="1" applyFill="1" applyBorder="1" applyAlignment="1">
      <alignment vertical="center"/>
    </xf>
    <xf numFmtId="0" fontId="17" fillId="0" borderId="4" xfId="0" applyFont="1" applyBorder="1" applyAlignment="1">
      <alignment horizontal="left" vertical="center"/>
    </xf>
    <xf numFmtId="0" fontId="17" fillId="0" borderId="12" xfId="0" applyFont="1" applyBorder="1" applyAlignment="1">
      <alignment horizontal="left" indent="1"/>
    </xf>
    <xf numFmtId="0" fontId="4" fillId="0" borderId="0" xfId="0" applyFont="1" applyAlignment="1"/>
    <xf numFmtId="0" fontId="5" fillId="0" borderId="0" xfId="0" applyFont="1" applyAlignment="1">
      <alignment horizontal="left"/>
    </xf>
    <xf numFmtId="0" fontId="11" fillId="0" borderId="0" xfId="0" applyFont="1" applyAlignment="1">
      <alignment horizontal="left" indent="1"/>
    </xf>
    <xf numFmtId="0" fontId="4" fillId="0" borderId="0" xfId="0" applyFont="1" applyAlignment="1">
      <alignment horizontal="left"/>
    </xf>
    <xf numFmtId="178" fontId="8" fillId="5" borderId="26" xfId="0" applyNumberFormat="1" applyFont="1" applyFill="1" applyBorder="1" applyAlignment="1">
      <alignment horizontal="center" vertical="center"/>
    </xf>
    <xf numFmtId="0" fontId="8" fillId="5" borderId="15" xfId="0" applyFont="1" applyFill="1" applyBorder="1" applyAlignment="1">
      <alignment horizontal="center" vertical="center"/>
    </xf>
    <xf numFmtId="0" fontId="8" fillId="5" borderId="27" xfId="0" applyFont="1" applyFill="1" applyBorder="1" applyAlignment="1">
      <alignment horizontal="center" vertical="center"/>
    </xf>
    <xf numFmtId="0" fontId="17" fillId="0" borderId="28" xfId="0" applyFont="1" applyBorder="1" applyAlignment="1">
      <alignment vertical="top" wrapText="1"/>
    </xf>
    <xf numFmtId="49" fontId="2" fillId="0" borderId="19" xfId="0" applyNumberFormat="1" applyFont="1" applyBorder="1" applyAlignment="1">
      <alignment vertical="top"/>
    </xf>
    <xf numFmtId="0" fontId="2" fillId="0" borderId="19" xfId="0" applyFont="1" applyBorder="1" applyAlignment="1">
      <alignment vertical="top"/>
    </xf>
    <xf numFmtId="15" fontId="2" fillId="0" borderId="19" xfId="0" applyNumberFormat="1" applyFont="1" applyBorder="1" applyAlignment="1">
      <alignment vertical="top"/>
    </xf>
    <xf numFmtId="0" fontId="17" fillId="0" borderId="29" xfId="0" applyFont="1" applyBorder="1" applyAlignment="1">
      <alignment vertical="top" wrapText="1"/>
    </xf>
    <xf numFmtId="178" fontId="2" fillId="0" borderId="28" xfId="0" applyNumberFormat="1" applyFont="1" applyBorder="1" applyAlignment="1">
      <alignment vertical="top"/>
    </xf>
    <xf numFmtId="0" fontId="2" fillId="0" borderId="29" xfId="0" applyFont="1" applyBorder="1" applyAlignment="1">
      <alignment vertical="top"/>
    </xf>
    <xf numFmtId="178" fontId="2" fillId="0" borderId="30" xfId="0" applyNumberFormat="1" applyFont="1" applyBorder="1" applyAlignment="1">
      <alignment vertical="top"/>
    </xf>
    <xf numFmtId="49" fontId="2" fillId="0" borderId="23" xfId="0" applyNumberFormat="1" applyFont="1" applyBorder="1" applyAlignment="1">
      <alignment vertical="top"/>
    </xf>
    <xf numFmtId="0" fontId="2" fillId="0" borderId="23" xfId="0" applyFont="1" applyBorder="1" applyAlignment="1">
      <alignment vertical="top"/>
    </xf>
    <xf numFmtId="0" fontId="2" fillId="0" borderId="31" xfId="0" applyFont="1" applyBorder="1" applyAlignment="1">
      <alignment vertical="top"/>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標準_結合試験(AllOvertheWorld)"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88920</xdr:rowOff>
    </xdr:from>
    <xdr:to>
      <xdr:col>0</xdr:col>
      <xdr:colOff>2132640</xdr:colOff>
      <xdr:row>1</xdr:row>
      <xdr:rowOff>786240</xdr:rowOff>
    </xdr:to>
    <xdr:pic>
      <xdr:nvPicPr>
        <xdr:cNvPr id="2" name="Picture 1"/>
        <xdr:cNvPicPr/>
      </xdr:nvPicPr>
      <xdr:blipFill>
        <a:blip r:embed="rId1"/>
        <a:stretch>
          <a:fillRect/>
        </a:stretch>
      </xdr:blipFill>
      <xdr:spPr>
        <a:xfrm>
          <a:off x="0" y="250825"/>
          <a:ext cx="2132330" cy="69723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7"/>
  <sheetViews>
    <sheetView showGridLines="0" tabSelected="1" workbookViewId="0">
      <selection activeCell="I5" sqref="I5"/>
    </sheetView>
  </sheetViews>
  <sheetFormatPr defaultColWidth="9" defaultRowHeight="12.75" outlineLevelCol="5"/>
  <cols>
    <col min="1" max="1" width="28.125" style="99" customWidth="1"/>
    <col min="2" max="2" width="10" style="100" customWidth="1"/>
    <col min="3" max="3" width="14.375" style="100" customWidth="1"/>
    <col min="4" max="4" width="8" style="100" customWidth="1"/>
    <col min="5" max="5" width="38" style="100" customWidth="1"/>
    <col min="6" max="6" width="48.125" style="100" customWidth="1"/>
    <col min="7" max="256" width="9" style="100"/>
    <col min="257" max="257" width="28.125" style="100" customWidth="1"/>
    <col min="258" max="258" width="10" style="100" customWidth="1"/>
    <col min="259" max="259" width="14.375" style="100" customWidth="1"/>
    <col min="260" max="260" width="8" style="100" customWidth="1"/>
    <col min="261" max="261" width="38" style="100" customWidth="1"/>
    <col min="262" max="262" width="48.125" style="100" customWidth="1"/>
    <col min="263" max="512" width="9" style="100"/>
    <col min="513" max="513" width="28.125" style="100" customWidth="1"/>
    <col min="514" max="514" width="10" style="100" customWidth="1"/>
    <col min="515" max="515" width="14.375" style="100" customWidth="1"/>
    <col min="516" max="516" width="8" style="100" customWidth="1"/>
    <col min="517" max="517" width="38" style="100" customWidth="1"/>
    <col min="518" max="518" width="48.125" style="100" customWidth="1"/>
    <col min="519" max="768" width="9" style="100"/>
    <col min="769" max="769" width="28.125" style="100" customWidth="1"/>
    <col min="770" max="770" width="10" style="100" customWidth="1"/>
    <col min="771" max="771" width="14.375" style="100" customWidth="1"/>
    <col min="772" max="772" width="8" style="100" customWidth="1"/>
    <col min="773" max="773" width="38" style="100" customWidth="1"/>
    <col min="774" max="774" width="48.125" style="100" customWidth="1"/>
    <col min="775" max="1024" width="9" style="100"/>
    <col min="1025" max="1025" width="28.125" style="100" customWidth="1"/>
    <col min="1026" max="1026" width="10" style="100" customWidth="1"/>
    <col min="1027" max="1027" width="14.375" style="100" customWidth="1"/>
    <col min="1028" max="1028" width="8" style="100" customWidth="1"/>
    <col min="1029" max="1029" width="38" style="100" customWidth="1"/>
    <col min="1030" max="1030" width="48.125" style="100" customWidth="1"/>
    <col min="1031" max="1280" width="9" style="100"/>
    <col min="1281" max="1281" width="28.125" style="100" customWidth="1"/>
    <col min="1282" max="1282" width="10" style="100" customWidth="1"/>
    <col min="1283" max="1283" width="14.375" style="100" customWidth="1"/>
    <col min="1284" max="1284" width="8" style="100" customWidth="1"/>
    <col min="1285" max="1285" width="38" style="100" customWidth="1"/>
    <col min="1286" max="1286" width="48.125" style="100" customWidth="1"/>
    <col min="1287" max="1536" width="9" style="100"/>
    <col min="1537" max="1537" width="28.125" style="100" customWidth="1"/>
    <col min="1538" max="1538" width="10" style="100" customWidth="1"/>
    <col min="1539" max="1539" width="14.375" style="100" customWidth="1"/>
    <col min="1540" max="1540" width="8" style="100" customWidth="1"/>
    <col min="1541" max="1541" width="38" style="100" customWidth="1"/>
    <col min="1542" max="1542" width="48.125" style="100" customWidth="1"/>
    <col min="1543" max="1792" width="9" style="100"/>
    <col min="1793" max="1793" width="28.125" style="100" customWidth="1"/>
    <col min="1794" max="1794" width="10" style="100" customWidth="1"/>
    <col min="1795" max="1795" width="14.375" style="100" customWidth="1"/>
    <col min="1796" max="1796" width="8" style="100" customWidth="1"/>
    <col min="1797" max="1797" width="38" style="100" customWidth="1"/>
    <col min="1798" max="1798" width="48.125" style="100" customWidth="1"/>
    <col min="1799" max="2048" width="9" style="100"/>
    <col min="2049" max="2049" width="28.125" style="100" customWidth="1"/>
    <col min="2050" max="2050" width="10" style="100" customWidth="1"/>
    <col min="2051" max="2051" width="14.375" style="100" customWidth="1"/>
    <col min="2052" max="2052" width="8" style="100" customWidth="1"/>
    <col min="2053" max="2053" width="38" style="100" customWidth="1"/>
    <col min="2054" max="2054" width="48.125" style="100" customWidth="1"/>
    <col min="2055" max="2304" width="9" style="100"/>
    <col min="2305" max="2305" width="28.125" style="100" customWidth="1"/>
    <col min="2306" max="2306" width="10" style="100" customWidth="1"/>
    <col min="2307" max="2307" width="14.375" style="100" customWidth="1"/>
    <col min="2308" max="2308" width="8" style="100" customWidth="1"/>
    <col min="2309" max="2309" width="38" style="100" customWidth="1"/>
    <col min="2310" max="2310" width="48.125" style="100" customWidth="1"/>
    <col min="2311" max="2560" width="9" style="100"/>
    <col min="2561" max="2561" width="28.125" style="100" customWidth="1"/>
    <col min="2562" max="2562" width="10" style="100" customWidth="1"/>
    <col min="2563" max="2563" width="14.375" style="100" customWidth="1"/>
    <col min="2564" max="2564" width="8" style="100" customWidth="1"/>
    <col min="2565" max="2565" width="38" style="100" customWidth="1"/>
    <col min="2566" max="2566" width="48.125" style="100" customWidth="1"/>
    <col min="2567" max="2816" width="9" style="100"/>
    <col min="2817" max="2817" width="28.125" style="100" customWidth="1"/>
    <col min="2818" max="2818" width="10" style="100" customWidth="1"/>
    <col min="2819" max="2819" width="14.375" style="100" customWidth="1"/>
    <col min="2820" max="2820" width="8" style="100" customWidth="1"/>
    <col min="2821" max="2821" width="38" style="100" customWidth="1"/>
    <col min="2822" max="2822" width="48.125" style="100" customWidth="1"/>
    <col min="2823" max="3072" width="9" style="100"/>
    <col min="3073" max="3073" width="28.125" style="100" customWidth="1"/>
    <col min="3074" max="3074" width="10" style="100" customWidth="1"/>
    <col min="3075" max="3075" width="14.375" style="100" customWidth="1"/>
    <col min="3076" max="3076" width="8" style="100" customWidth="1"/>
    <col min="3077" max="3077" width="38" style="100" customWidth="1"/>
    <col min="3078" max="3078" width="48.125" style="100" customWidth="1"/>
    <col min="3079" max="3328" width="9" style="100"/>
    <col min="3329" max="3329" width="28.125" style="100" customWidth="1"/>
    <col min="3330" max="3330" width="10" style="100" customWidth="1"/>
    <col min="3331" max="3331" width="14.375" style="100" customWidth="1"/>
    <col min="3332" max="3332" width="8" style="100" customWidth="1"/>
    <col min="3333" max="3333" width="38" style="100" customWidth="1"/>
    <col min="3334" max="3334" width="48.125" style="100" customWidth="1"/>
    <col min="3335" max="3584" width="9" style="100"/>
    <col min="3585" max="3585" width="28.125" style="100" customWidth="1"/>
    <col min="3586" max="3586" width="10" style="100" customWidth="1"/>
    <col min="3587" max="3587" width="14.375" style="100" customWidth="1"/>
    <col min="3588" max="3588" width="8" style="100" customWidth="1"/>
    <col min="3589" max="3589" width="38" style="100" customWidth="1"/>
    <col min="3590" max="3590" width="48.125" style="100" customWidth="1"/>
    <col min="3591" max="3840" width="9" style="100"/>
    <col min="3841" max="3841" width="28.125" style="100" customWidth="1"/>
    <col min="3842" max="3842" width="10" style="100" customWidth="1"/>
    <col min="3843" max="3843" width="14.375" style="100" customWidth="1"/>
    <col min="3844" max="3844" width="8" style="100" customWidth="1"/>
    <col min="3845" max="3845" width="38" style="100" customWidth="1"/>
    <col min="3846" max="3846" width="48.125" style="100" customWidth="1"/>
    <col min="3847" max="4096" width="9" style="100"/>
    <col min="4097" max="4097" width="28.125" style="100" customWidth="1"/>
    <col min="4098" max="4098" width="10" style="100" customWidth="1"/>
    <col min="4099" max="4099" width="14.375" style="100" customWidth="1"/>
    <col min="4100" max="4100" width="8" style="100" customWidth="1"/>
    <col min="4101" max="4101" width="38" style="100" customWidth="1"/>
    <col min="4102" max="4102" width="48.125" style="100" customWidth="1"/>
    <col min="4103" max="4352" width="9" style="100"/>
    <col min="4353" max="4353" width="28.125" style="100" customWidth="1"/>
    <col min="4354" max="4354" width="10" style="100" customWidth="1"/>
    <col min="4355" max="4355" width="14.375" style="100" customWidth="1"/>
    <col min="4356" max="4356" width="8" style="100" customWidth="1"/>
    <col min="4357" max="4357" width="38" style="100" customWidth="1"/>
    <col min="4358" max="4358" width="48.125" style="100" customWidth="1"/>
    <col min="4359" max="4608" width="9" style="100"/>
    <col min="4609" max="4609" width="28.125" style="100" customWidth="1"/>
    <col min="4610" max="4610" width="10" style="100" customWidth="1"/>
    <col min="4611" max="4611" width="14.375" style="100" customWidth="1"/>
    <col min="4612" max="4612" width="8" style="100" customWidth="1"/>
    <col min="4613" max="4613" width="38" style="100" customWidth="1"/>
    <col min="4614" max="4614" width="48.125" style="100" customWidth="1"/>
    <col min="4615" max="4864" width="9" style="100"/>
    <col min="4865" max="4865" width="28.125" style="100" customWidth="1"/>
    <col min="4866" max="4866" width="10" style="100" customWidth="1"/>
    <col min="4867" max="4867" width="14.375" style="100" customWidth="1"/>
    <col min="4868" max="4868" width="8" style="100" customWidth="1"/>
    <col min="4869" max="4869" width="38" style="100" customWidth="1"/>
    <col min="4870" max="4870" width="48.125" style="100" customWidth="1"/>
    <col min="4871" max="5120" width="9" style="100"/>
    <col min="5121" max="5121" width="28.125" style="100" customWidth="1"/>
    <col min="5122" max="5122" width="10" style="100" customWidth="1"/>
    <col min="5123" max="5123" width="14.375" style="100" customWidth="1"/>
    <col min="5124" max="5124" width="8" style="100" customWidth="1"/>
    <col min="5125" max="5125" width="38" style="100" customWidth="1"/>
    <col min="5126" max="5126" width="48.125" style="100" customWidth="1"/>
    <col min="5127" max="5376" width="9" style="100"/>
    <col min="5377" max="5377" width="28.125" style="100" customWidth="1"/>
    <col min="5378" max="5378" width="10" style="100" customWidth="1"/>
    <col min="5379" max="5379" width="14.375" style="100" customWidth="1"/>
    <col min="5380" max="5380" width="8" style="100" customWidth="1"/>
    <col min="5381" max="5381" width="38" style="100" customWidth="1"/>
    <col min="5382" max="5382" width="48.125" style="100" customWidth="1"/>
    <col min="5383" max="5632" width="9" style="100"/>
    <col min="5633" max="5633" width="28.125" style="100" customWidth="1"/>
    <col min="5634" max="5634" width="10" style="100" customWidth="1"/>
    <col min="5635" max="5635" width="14.375" style="100" customWidth="1"/>
    <col min="5636" max="5636" width="8" style="100" customWidth="1"/>
    <col min="5637" max="5637" width="38" style="100" customWidth="1"/>
    <col min="5638" max="5638" width="48.125" style="100" customWidth="1"/>
    <col min="5639" max="5888" width="9" style="100"/>
    <col min="5889" max="5889" width="28.125" style="100" customWidth="1"/>
    <col min="5890" max="5890" width="10" style="100" customWidth="1"/>
    <col min="5891" max="5891" width="14.375" style="100" customWidth="1"/>
    <col min="5892" max="5892" width="8" style="100" customWidth="1"/>
    <col min="5893" max="5893" width="38" style="100" customWidth="1"/>
    <col min="5894" max="5894" width="48.125" style="100" customWidth="1"/>
    <col min="5895" max="6144" width="9" style="100"/>
    <col min="6145" max="6145" width="28.125" style="100" customWidth="1"/>
    <col min="6146" max="6146" width="10" style="100" customWidth="1"/>
    <col min="6147" max="6147" width="14.375" style="100" customWidth="1"/>
    <col min="6148" max="6148" width="8" style="100" customWidth="1"/>
    <col min="6149" max="6149" width="38" style="100" customWidth="1"/>
    <col min="6150" max="6150" width="48.125" style="100" customWidth="1"/>
    <col min="6151" max="6400" width="9" style="100"/>
    <col min="6401" max="6401" width="28.125" style="100" customWidth="1"/>
    <col min="6402" max="6402" width="10" style="100" customWidth="1"/>
    <col min="6403" max="6403" width="14.375" style="100" customWidth="1"/>
    <col min="6404" max="6404" width="8" style="100" customWidth="1"/>
    <col min="6405" max="6405" width="38" style="100" customWidth="1"/>
    <col min="6406" max="6406" width="48.125" style="100" customWidth="1"/>
    <col min="6407" max="6656" width="9" style="100"/>
    <col min="6657" max="6657" width="28.125" style="100" customWidth="1"/>
    <col min="6658" max="6658" width="10" style="100" customWidth="1"/>
    <col min="6659" max="6659" width="14.375" style="100" customWidth="1"/>
    <col min="6660" max="6660" width="8" style="100" customWidth="1"/>
    <col min="6661" max="6661" width="38" style="100" customWidth="1"/>
    <col min="6662" max="6662" width="48.125" style="100" customWidth="1"/>
    <col min="6663" max="6912" width="9" style="100"/>
    <col min="6913" max="6913" width="28.125" style="100" customWidth="1"/>
    <col min="6914" max="6914" width="10" style="100" customWidth="1"/>
    <col min="6915" max="6915" width="14.375" style="100" customWidth="1"/>
    <col min="6916" max="6916" width="8" style="100" customWidth="1"/>
    <col min="6917" max="6917" width="38" style="100" customWidth="1"/>
    <col min="6918" max="6918" width="48.125" style="100" customWidth="1"/>
    <col min="6919" max="7168" width="9" style="100"/>
    <col min="7169" max="7169" width="28.125" style="100" customWidth="1"/>
    <col min="7170" max="7170" width="10" style="100" customWidth="1"/>
    <col min="7171" max="7171" width="14.375" style="100" customWidth="1"/>
    <col min="7172" max="7172" width="8" style="100" customWidth="1"/>
    <col min="7173" max="7173" width="38" style="100" customWidth="1"/>
    <col min="7174" max="7174" width="48.125" style="100" customWidth="1"/>
    <col min="7175" max="7424" width="9" style="100"/>
    <col min="7425" max="7425" width="28.125" style="100" customWidth="1"/>
    <col min="7426" max="7426" width="10" style="100" customWidth="1"/>
    <col min="7427" max="7427" width="14.375" style="100" customWidth="1"/>
    <col min="7428" max="7428" width="8" style="100" customWidth="1"/>
    <col min="7429" max="7429" width="38" style="100" customWidth="1"/>
    <col min="7430" max="7430" width="48.125" style="100" customWidth="1"/>
    <col min="7431" max="7680" width="9" style="100"/>
    <col min="7681" max="7681" width="28.125" style="100" customWidth="1"/>
    <col min="7682" max="7682" width="10" style="100" customWidth="1"/>
    <col min="7683" max="7683" width="14.375" style="100" customWidth="1"/>
    <col min="7684" max="7684" width="8" style="100" customWidth="1"/>
    <col min="7685" max="7685" width="38" style="100" customWidth="1"/>
    <col min="7686" max="7686" width="48.125" style="100" customWidth="1"/>
    <col min="7687" max="7936" width="9" style="100"/>
    <col min="7937" max="7937" width="28.125" style="100" customWidth="1"/>
    <col min="7938" max="7938" width="10" style="100" customWidth="1"/>
    <col min="7939" max="7939" width="14.375" style="100" customWidth="1"/>
    <col min="7940" max="7940" width="8" style="100" customWidth="1"/>
    <col min="7941" max="7941" width="38" style="100" customWidth="1"/>
    <col min="7942" max="7942" width="48.125" style="100" customWidth="1"/>
    <col min="7943" max="8192" width="9" style="100"/>
    <col min="8193" max="8193" width="28.125" style="100" customWidth="1"/>
    <col min="8194" max="8194" width="10" style="100" customWidth="1"/>
    <col min="8195" max="8195" width="14.375" style="100" customWidth="1"/>
    <col min="8196" max="8196" width="8" style="100" customWidth="1"/>
    <col min="8197" max="8197" width="38" style="100" customWidth="1"/>
    <col min="8198" max="8198" width="48.125" style="100" customWidth="1"/>
    <col min="8199" max="8448" width="9" style="100"/>
    <col min="8449" max="8449" width="28.125" style="100" customWidth="1"/>
    <col min="8450" max="8450" width="10" style="100" customWidth="1"/>
    <col min="8451" max="8451" width="14.375" style="100" customWidth="1"/>
    <col min="8452" max="8452" width="8" style="100" customWidth="1"/>
    <col min="8453" max="8453" width="38" style="100" customWidth="1"/>
    <col min="8454" max="8454" width="48.125" style="100" customWidth="1"/>
    <col min="8455" max="8704" width="9" style="100"/>
    <col min="8705" max="8705" width="28.125" style="100" customWidth="1"/>
    <col min="8706" max="8706" width="10" style="100" customWidth="1"/>
    <col min="8707" max="8707" width="14.375" style="100" customWidth="1"/>
    <col min="8708" max="8708" width="8" style="100" customWidth="1"/>
    <col min="8709" max="8709" width="38" style="100" customWidth="1"/>
    <col min="8710" max="8710" width="48.125" style="100" customWidth="1"/>
    <col min="8711" max="8960" width="9" style="100"/>
    <col min="8961" max="8961" width="28.125" style="100" customWidth="1"/>
    <col min="8962" max="8962" width="10" style="100" customWidth="1"/>
    <col min="8963" max="8963" width="14.375" style="100" customWidth="1"/>
    <col min="8964" max="8964" width="8" style="100" customWidth="1"/>
    <col min="8965" max="8965" width="38" style="100" customWidth="1"/>
    <col min="8966" max="8966" width="48.125" style="100" customWidth="1"/>
    <col min="8967" max="9216" width="9" style="100"/>
    <col min="9217" max="9217" width="28.125" style="100" customWidth="1"/>
    <col min="9218" max="9218" width="10" style="100" customWidth="1"/>
    <col min="9219" max="9219" width="14.375" style="100" customWidth="1"/>
    <col min="9220" max="9220" width="8" style="100" customWidth="1"/>
    <col min="9221" max="9221" width="38" style="100" customWidth="1"/>
    <col min="9222" max="9222" width="48.125" style="100" customWidth="1"/>
    <col min="9223" max="9472" width="9" style="100"/>
    <col min="9473" max="9473" width="28.125" style="100" customWidth="1"/>
    <col min="9474" max="9474" width="10" style="100" customWidth="1"/>
    <col min="9475" max="9475" width="14.375" style="100" customWidth="1"/>
    <col min="9476" max="9476" width="8" style="100" customWidth="1"/>
    <col min="9477" max="9477" width="38" style="100" customWidth="1"/>
    <col min="9478" max="9478" width="48.125" style="100" customWidth="1"/>
    <col min="9479" max="9728" width="9" style="100"/>
    <col min="9729" max="9729" width="28.125" style="100" customWidth="1"/>
    <col min="9730" max="9730" width="10" style="100" customWidth="1"/>
    <col min="9731" max="9731" width="14.375" style="100" customWidth="1"/>
    <col min="9732" max="9732" width="8" style="100" customWidth="1"/>
    <col min="9733" max="9733" width="38" style="100" customWidth="1"/>
    <col min="9734" max="9734" width="48.125" style="100" customWidth="1"/>
    <col min="9735" max="9984" width="9" style="100"/>
    <col min="9985" max="9985" width="28.125" style="100" customWidth="1"/>
    <col min="9986" max="9986" width="10" style="100" customWidth="1"/>
    <col min="9987" max="9987" width="14.375" style="100" customWidth="1"/>
    <col min="9988" max="9988" width="8" style="100" customWidth="1"/>
    <col min="9989" max="9989" width="38" style="100" customWidth="1"/>
    <col min="9990" max="9990" width="48.125" style="100" customWidth="1"/>
    <col min="9991" max="10240" width="9" style="100"/>
    <col min="10241" max="10241" width="28.125" style="100" customWidth="1"/>
    <col min="10242" max="10242" width="10" style="100" customWidth="1"/>
    <col min="10243" max="10243" width="14.375" style="100" customWidth="1"/>
    <col min="10244" max="10244" width="8" style="100" customWidth="1"/>
    <col min="10245" max="10245" width="38" style="100" customWidth="1"/>
    <col min="10246" max="10246" width="48.125" style="100" customWidth="1"/>
    <col min="10247" max="10496" width="9" style="100"/>
    <col min="10497" max="10497" width="28.125" style="100" customWidth="1"/>
    <col min="10498" max="10498" width="10" style="100" customWidth="1"/>
    <col min="10499" max="10499" width="14.375" style="100" customWidth="1"/>
    <col min="10500" max="10500" width="8" style="100" customWidth="1"/>
    <col min="10501" max="10501" width="38" style="100" customWidth="1"/>
    <col min="10502" max="10502" width="48.125" style="100" customWidth="1"/>
    <col min="10503" max="10752" width="9" style="100"/>
    <col min="10753" max="10753" width="28.125" style="100" customWidth="1"/>
    <col min="10754" max="10754" width="10" style="100" customWidth="1"/>
    <col min="10755" max="10755" width="14.375" style="100" customWidth="1"/>
    <col min="10756" max="10756" width="8" style="100" customWidth="1"/>
    <col min="10757" max="10757" width="38" style="100" customWidth="1"/>
    <col min="10758" max="10758" width="48.125" style="100" customWidth="1"/>
    <col min="10759" max="11008" width="9" style="100"/>
    <col min="11009" max="11009" width="28.125" style="100" customWidth="1"/>
    <col min="11010" max="11010" width="10" style="100" customWidth="1"/>
    <col min="11011" max="11011" width="14.375" style="100" customWidth="1"/>
    <col min="11012" max="11012" width="8" style="100" customWidth="1"/>
    <col min="11013" max="11013" width="38" style="100" customWidth="1"/>
    <col min="11014" max="11014" width="48.125" style="100" customWidth="1"/>
    <col min="11015" max="11264" width="9" style="100"/>
    <col min="11265" max="11265" width="28.125" style="100" customWidth="1"/>
    <col min="11266" max="11266" width="10" style="100" customWidth="1"/>
    <col min="11267" max="11267" width="14.375" style="100" customWidth="1"/>
    <col min="11268" max="11268" width="8" style="100" customWidth="1"/>
    <col min="11269" max="11269" width="38" style="100" customWidth="1"/>
    <col min="11270" max="11270" width="48.125" style="100" customWidth="1"/>
    <col min="11271" max="11520" width="9" style="100"/>
    <col min="11521" max="11521" width="28.125" style="100" customWidth="1"/>
    <col min="11522" max="11522" width="10" style="100" customWidth="1"/>
    <col min="11523" max="11523" width="14.375" style="100" customWidth="1"/>
    <col min="11524" max="11524" width="8" style="100" customWidth="1"/>
    <col min="11525" max="11525" width="38" style="100" customWidth="1"/>
    <col min="11526" max="11526" width="48.125" style="100" customWidth="1"/>
    <col min="11527" max="11776" width="9" style="100"/>
    <col min="11777" max="11777" width="28.125" style="100" customWidth="1"/>
    <col min="11778" max="11778" width="10" style="100" customWidth="1"/>
    <col min="11779" max="11779" width="14.375" style="100" customWidth="1"/>
    <col min="11780" max="11780" width="8" style="100" customWidth="1"/>
    <col min="11781" max="11781" width="38" style="100" customWidth="1"/>
    <col min="11782" max="11782" width="48.125" style="100" customWidth="1"/>
    <col min="11783" max="12032" width="9" style="100"/>
    <col min="12033" max="12033" width="28.125" style="100" customWidth="1"/>
    <col min="12034" max="12034" width="10" style="100" customWidth="1"/>
    <col min="12035" max="12035" width="14.375" style="100" customWidth="1"/>
    <col min="12036" max="12036" width="8" style="100" customWidth="1"/>
    <col min="12037" max="12037" width="38" style="100" customWidth="1"/>
    <col min="12038" max="12038" width="48.125" style="100" customWidth="1"/>
    <col min="12039" max="12288" width="9" style="100"/>
    <col min="12289" max="12289" width="28.125" style="100" customWidth="1"/>
    <col min="12290" max="12290" width="10" style="100" customWidth="1"/>
    <col min="12291" max="12291" width="14.375" style="100" customWidth="1"/>
    <col min="12292" max="12292" width="8" style="100" customWidth="1"/>
    <col min="12293" max="12293" width="38" style="100" customWidth="1"/>
    <col min="12294" max="12294" width="48.125" style="100" customWidth="1"/>
    <col min="12295" max="12544" width="9" style="100"/>
    <col min="12545" max="12545" width="28.125" style="100" customWidth="1"/>
    <col min="12546" max="12546" width="10" style="100" customWidth="1"/>
    <col min="12547" max="12547" width="14.375" style="100" customWidth="1"/>
    <col min="12548" max="12548" width="8" style="100" customWidth="1"/>
    <col min="12549" max="12549" width="38" style="100" customWidth="1"/>
    <col min="12550" max="12550" width="48.125" style="100" customWidth="1"/>
    <col min="12551" max="12800" width="9" style="100"/>
    <col min="12801" max="12801" width="28.125" style="100" customWidth="1"/>
    <col min="12802" max="12802" width="10" style="100" customWidth="1"/>
    <col min="12803" max="12803" width="14.375" style="100" customWidth="1"/>
    <col min="12804" max="12804" width="8" style="100" customWidth="1"/>
    <col min="12805" max="12805" width="38" style="100" customWidth="1"/>
    <col min="12806" max="12806" width="48.125" style="100" customWidth="1"/>
    <col min="12807" max="13056" width="9" style="100"/>
    <col min="13057" max="13057" width="28.125" style="100" customWidth="1"/>
    <col min="13058" max="13058" width="10" style="100" customWidth="1"/>
    <col min="13059" max="13059" width="14.375" style="100" customWidth="1"/>
    <col min="13060" max="13060" width="8" style="100" customWidth="1"/>
    <col min="13061" max="13061" width="38" style="100" customWidth="1"/>
    <col min="13062" max="13062" width="48.125" style="100" customWidth="1"/>
    <col min="13063" max="13312" width="9" style="100"/>
    <col min="13313" max="13313" width="28.125" style="100" customWidth="1"/>
    <col min="13314" max="13314" width="10" style="100" customWidth="1"/>
    <col min="13315" max="13315" width="14.375" style="100" customWidth="1"/>
    <col min="13316" max="13316" width="8" style="100" customWidth="1"/>
    <col min="13317" max="13317" width="38" style="100" customWidth="1"/>
    <col min="13318" max="13318" width="48.125" style="100" customWidth="1"/>
    <col min="13319" max="13568" width="9" style="100"/>
    <col min="13569" max="13569" width="28.125" style="100" customWidth="1"/>
    <col min="13570" max="13570" width="10" style="100" customWidth="1"/>
    <col min="13571" max="13571" width="14.375" style="100" customWidth="1"/>
    <col min="13572" max="13572" width="8" style="100" customWidth="1"/>
    <col min="13573" max="13573" width="38" style="100" customWidth="1"/>
    <col min="13574" max="13574" width="48.125" style="100" customWidth="1"/>
    <col min="13575" max="13824" width="9" style="100"/>
    <col min="13825" max="13825" width="28.125" style="100" customWidth="1"/>
    <col min="13826" max="13826" width="10" style="100" customWidth="1"/>
    <col min="13827" max="13827" width="14.375" style="100" customWidth="1"/>
    <col min="13828" max="13828" width="8" style="100" customWidth="1"/>
    <col min="13829" max="13829" width="38" style="100" customWidth="1"/>
    <col min="13830" max="13830" width="48.125" style="100" customWidth="1"/>
    <col min="13831" max="14080" width="9" style="100"/>
    <col min="14081" max="14081" width="28.125" style="100" customWidth="1"/>
    <col min="14082" max="14082" width="10" style="100" customWidth="1"/>
    <col min="14083" max="14083" width="14.375" style="100" customWidth="1"/>
    <col min="14084" max="14084" width="8" style="100" customWidth="1"/>
    <col min="14085" max="14085" width="38" style="100" customWidth="1"/>
    <col min="14086" max="14086" width="48.125" style="100" customWidth="1"/>
    <col min="14087" max="14336" width="9" style="100"/>
    <col min="14337" max="14337" width="28.125" style="100" customWidth="1"/>
    <col min="14338" max="14338" width="10" style="100" customWidth="1"/>
    <col min="14339" max="14339" width="14.375" style="100" customWidth="1"/>
    <col min="14340" max="14340" width="8" style="100" customWidth="1"/>
    <col min="14341" max="14341" width="38" style="100" customWidth="1"/>
    <col min="14342" max="14342" width="48.125" style="100" customWidth="1"/>
    <col min="14343" max="14592" width="9" style="100"/>
    <col min="14593" max="14593" width="28.125" style="100" customWidth="1"/>
    <col min="14594" max="14594" width="10" style="100" customWidth="1"/>
    <col min="14595" max="14595" width="14.375" style="100" customWidth="1"/>
    <col min="14596" max="14596" width="8" style="100" customWidth="1"/>
    <col min="14597" max="14597" width="38" style="100" customWidth="1"/>
    <col min="14598" max="14598" width="48.125" style="100" customWidth="1"/>
    <col min="14599" max="14848" width="9" style="100"/>
    <col min="14849" max="14849" width="28.125" style="100" customWidth="1"/>
    <col min="14850" max="14850" width="10" style="100" customWidth="1"/>
    <col min="14851" max="14851" width="14.375" style="100" customWidth="1"/>
    <col min="14852" max="14852" width="8" style="100" customWidth="1"/>
    <col min="14853" max="14853" width="38" style="100" customWidth="1"/>
    <col min="14854" max="14854" width="48.125" style="100" customWidth="1"/>
    <col min="14855" max="15104" width="9" style="100"/>
    <col min="15105" max="15105" width="28.125" style="100" customWidth="1"/>
    <col min="15106" max="15106" width="10" style="100" customWidth="1"/>
    <col min="15107" max="15107" width="14.375" style="100" customWidth="1"/>
    <col min="15108" max="15108" width="8" style="100" customWidth="1"/>
    <col min="15109" max="15109" width="38" style="100" customWidth="1"/>
    <col min="15110" max="15110" width="48.125" style="100" customWidth="1"/>
    <col min="15111" max="15360" width="9" style="100"/>
    <col min="15361" max="15361" width="28.125" style="100" customWidth="1"/>
    <col min="15362" max="15362" width="10" style="100" customWidth="1"/>
    <col min="15363" max="15363" width="14.375" style="100" customWidth="1"/>
    <col min="15364" max="15364" width="8" style="100" customWidth="1"/>
    <col min="15365" max="15365" width="38" style="100" customWidth="1"/>
    <col min="15366" max="15366" width="48.125" style="100" customWidth="1"/>
    <col min="15367" max="15616" width="9" style="100"/>
    <col min="15617" max="15617" width="28.125" style="100" customWidth="1"/>
    <col min="15618" max="15618" width="10" style="100" customWidth="1"/>
    <col min="15619" max="15619" width="14.375" style="100" customWidth="1"/>
    <col min="15620" max="15620" width="8" style="100" customWidth="1"/>
    <col min="15621" max="15621" width="38" style="100" customWidth="1"/>
    <col min="15622" max="15622" width="48.125" style="100" customWidth="1"/>
    <col min="15623" max="15872" width="9" style="100"/>
    <col min="15873" max="15873" width="28.125" style="100" customWidth="1"/>
    <col min="15874" max="15874" width="10" style="100" customWidth="1"/>
    <col min="15875" max="15875" width="14.375" style="100" customWidth="1"/>
    <col min="15876" max="15876" width="8" style="100" customWidth="1"/>
    <col min="15877" max="15877" width="38" style="100" customWidth="1"/>
    <col min="15878" max="15878" width="48.125" style="100" customWidth="1"/>
    <col min="15879" max="16128" width="9" style="100"/>
    <col min="16129" max="16129" width="28.125" style="100" customWidth="1"/>
    <col min="16130" max="16130" width="10" style="100" customWidth="1"/>
    <col min="16131" max="16131" width="14.375" style="100" customWidth="1"/>
    <col min="16132" max="16132" width="8" style="100" customWidth="1"/>
    <col min="16133" max="16133" width="38" style="100" customWidth="1"/>
    <col min="16134" max="16134" width="48.125" style="100" customWidth="1"/>
    <col min="16135" max="16384" width="9" style="100"/>
  </cols>
  <sheetData>
    <row r="2" s="96" customFormat="1" ht="75.75" customHeight="1" spans="1:6">
      <c r="A2" s="101"/>
      <c r="B2" s="102" t="s">
        <v>0</v>
      </c>
      <c r="C2" s="102"/>
      <c r="D2" s="102"/>
      <c r="E2" s="102"/>
      <c r="F2" s="102"/>
    </row>
    <row r="3" customHeight="1" spans="1:5">
      <c r="A3" s="103"/>
      <c r="B3" s="104"/>
      <c r="E3" s="3"/>
    </row>
    <row r="4" ht="14.25" customHeight="1" spans="1:6">
      <c r="A4" s="105" t="s">
        <v>1</v>
      </c>
      <c r="B4" s="106" t="s">
        <v>2</v>
      </c>
      <c r="C4" s="106"/>
      <c r="D4" s="106"/>
      <c r="E4" s="105" t="s">
        <v>3</v>
      </c>
      <c r="F4" s="107" t="s">
        <v>4</v>
      </c>
    </row>
    <row r="5" ht="14.25" customHeight="1" spans="1:6">
      <c r="A5" s="105" t="s">
        <v>5</v>
      </c>
      <c r="B5" s="106" t="s">
        <v>6</v>
      </c>
      <c r="C5" s="106"/>
      <c r="D5" s="106"/>
      <c r="E5" s="105" t="s">
        <v>7</v>
      </c>
      <c r="F5" s="108" t="s">
        <v>8</v>
      </c>
    </row>
    <row r="6" ht="15.75" customHeight="1" spans="1:6">
      <c r="A6" s="109" t="s">
        <v>9</v>
      </c>
      <c r="B6" s="110" t="str">
        <f>B5&amp;"_"&amp;"XXX"&amp;"_"&amp;"vx.x"</f>
        <v>MMS_XXX_vx.x</v>
      </c>
      <c r="C6" s="110"/>
      <c r="D6" s="110"/>
      <c r="E6" s="105" t="s">
        <v>10</v>
      </c>
      <c r="F6" s="111"/>
    </row>
    <row r="7" customHeight="1" spans="1:6">
      <c r="A7" s="112"/>
      <c r="B7" s="113"/>
      <c r="E7" s="114"/>
      <c r="F7" s="104"/>
    </row>
    <row r="8" customHeight="1" spans="1:1">
      <c r="A8" s="100"/>
    </row>
    <row r="9" customHeight="1" spans="1:1">
      <c r="A9" s="115" t="s">
        <v>11</v>
      </c>
    </row>
    <row r="10" s="97" customFormat="1" customHeight="1" spans="1:6">
      <c r="A10" s="116" t="s">
        <v>12</v>
      </c>
      <c r="B10" s="117" t="s">
        <v>10</v>
      </c>
      <c r="C10" s="117" t="s">
        <v>13</v>
      </c>
      <c r="D10" s="117" t="s">
        <v>14</v>
      </c>
      <c r="E10" s="117" t="s">
        <v>15</v>
      </c>
      <c r="F10" s="118" t="s">
        <v>16</v>
      </c>
    </row>
    <row r="11" s="98" customFormat="1" ht="26.25" customHeight="1" spans="1:6">
      <c r="A11" s="119" t="s">
        <v>17</v>
      </c>
      <c r="B11" s="120"/>
      <c r="C11" s="121"/>
      <c r="D11" s="121"/>
      <c r="E11" s="122"/>
      <c r="F11" s="123" t="s">
        <v>18</v>
      </c>
    </row>
    <row r="12" s="98" customFormat="1" ht="21.75" customHeight="1" spans="1:6">
      <c r="A12" s="124"/>
      <c r="B12" s="120"/>
      <c r="C12" s="121"/>
      <c r="D12" s="121"/>
      <c r="E12" s="121"/>
      <c r="F12" s="125"/>
    </row>
    <row r="13" s="98" customFormat="1" ht="19.5" customHeight="1" spans="1:6">
      <c r="A13" s="124"/>
      <c r="B13" s="120"/>
      <c r="C13" s="121"/>
      <c r="D13" s="121"/>
      <c r="E13" s="121"/>
      <c r="F13" s="125"/>
    </row>
    <row r="14" s="98" customFormat="1" ht="21.75" customHeight="1" spans="1:6">
      <c r="A14" s="124"/>
      <c r="B14" s="120"/>
      <c r="C14" s="121"/>
      <c r="D14" s="121"/>
      <c r="E14" s="121"/>
      <c r="F14" s="125"/>
    </row>
    <row r="15" s="98" customFormat="1" ht="19.5" customHeight="1" spans="1:6">
      <c r="A15" s="124"/>
      <c r="B15" s="120"/>
      <c r="C15" s="121"/>
      <c r="D15" s="121"/>
      <c r="E15" s="121"/>
      <c r="F15" s="125"/>
    </row>
    <row r="16" s="98" customFormat="1" ht="21.75" customHeight="1" spans="1:6">
      <c r="A16" s="124"/>
      <c r="B16" s="120"/>
      <c r="C16" s="121"/>
      <c r="D16" s="121"/>
      <c r="E16" s="121"/>
      <c r="F16" s="125"/>
    </row>
    <row r="17" s="98" customFormat="1" ht="19.5" customHeight="1" spans="1:6">
      <c r="A17" s="126"/>
      <c r="B17" s="127"/>
      <c r="C17" s="128"/>
      <c r="D17" s="128"/>
      <c r="E17" s="128"/>
      <c r="F17" s="129"/>
    </row>
  </sheetData>
  <mergeCells count="4">
    <mergeCell ref="B2:F2"/>
    <mergeCell ref="B4:D4"/>
    <mergeCell ref="B5:D5"/>
    <mergeCell ref="B6:D6"/>
  </mergeCells>
  <pageMargins left="0.470138888888889" right="0.470138888888889" top="0.5" bottom="0.351388888888889" header="0.511811023622047" footer="0.170138888888889"/>
  <pageSetup paperSize="9" orientation="landscape" horizontalDpi="300" verticalDpi="300"/>
  <headerFooter>
    <oddFooter>&amp;L&amp;"Tahoma,Regular"&amp;8 02ae-BM/PM/HDCV/FSOFT v2/1&amp;C&amp;"Tahoma,Regular"&amp;8 Internal use&amp;R&amp;"tahomaTahoma,Regular"&amp;8 &amp;P/&amp;N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1"/>
  <sheetViews>
    <sheetView zoomScale="143" zoomScaleNormal="143" workbookViewId="0">
      <selection activeCell="C15" sqref="C15"/>
    </sheetView>
  </sheetViews>
  <sheetFormatPr defaultColWidth="9" defaultRowHeight="12.75" outlineLevelCol="5"/>
  <cols>
    <col min="1" max="1" width="1.375" style="3" customWidth="1"/>
    <col min="2" max="2" width="11.875" style="70" customWidth="1"/>
    <col min="3" max="3" width="26.5" style="71" customWidth="1"/>
    <col min="4" max="4" width="17.125" style="71" customWidth="1"/>
    <col min="5" max="5" width="28.125" style="71" customWidth="1"/>
    <col min="6" max="6" width="30.625" style="71" customWidth="1"/>
    <col min="7" max="16384" width="9" style="3"/>
  </cols>
  <sheetData>
    <row r="1" ht="24.75" customHeight="1" spans="2:5">
      <c r="B1" s="72"/>
      <c r="D1" s="73" t="s">
        <v>19</v>
      </c>
      <c r="E1" s="74"/>
    </row>
    <row r="2" ht="13.5" customHeight="1" spans="2:5">
      <c r="B2" s="72"/>
      <c r="D2" s="75"/>
      <c r="E2" s="75"/>
    </row>
    <row r="3" customHeight="1" spans="2:6">
      <c r="B3" s="76" t="s">
        <v>1</v>
      </c>
      <c r="C3" s="76"/>
      <c r="D3" s="39" t="s">
        <v>2</v>
      </c>
      <c r="E3" s="39"/>
      <c r="F3" s="39"/>
    </row>
    <row r="4" customHeight="1" spans="2:6">
      <c r="B4" s="76" t="s">
        <v>5</v>
      </c>
      <c r="C4" s="76"/>
      <c r="D4" s="39" t="s">
        <v>6</v>
      </c>
      <c r="E4" s="39"/>
      <c r="F4" s="39"/>
    </row>
    <row r="5" s="9" customFormat="1" ht="84.75" customHeight="1" spans="2:6">
      <c r="B5" s="77" t="s">
        <v>20</v>
      </c>
      <c r="C5" s="77"/>
      <c r="D5" s="78" t="s">
        <v>21</v>
      </c>
      <c r="E5" s="78"/>
      <c r="F5" s="78"/>
    </row>
    <row r="6" customHeight="1" spans="2:6">
      <c r="B6" s="79"/>
      <c r="C6" s="3"/>
      <c r="D6" s="3"/>
      <c r="E6" s="3"/>
      <c r="F6" s="3"/>
    </row>
    <row r="7" s="68" customFormat="1" customHeight="1" spans="2:6">
      <c r="B7" s="80"/>
      <c r="C7" s="81"/>
      <c r="D7" s="81"/>
      <c r="E7" s="81"/>
      <c r="F7" s="81"/>
    </row>
    <row r="8" s="69" customFormat="1" ht="21" customHeight="1" spans="2:6">
      <c r="B8" s="82" t="s">
        <v>22</v>
      </c>
      <c r="C8" s="83" t="s">
        <v>23</v>
      </c>
      <c r="D8" s="83" t="s">
        <v>24</v>
      </c>
      <c r="E8" s="84" t="s">
        <v>25</v>
      </c>
      <c r="F8" s="85" t="s">
        <v>26</v>
      </c>
    </row>
    <row r="9" ht="13.5" customHeight="1" spans="2:6">
      <c r="B9" s="86">
        <v>1</v>
      </c>
      <c r="C9" s="87" t="s">
        <v>27</v>
      </c>
      <c r="D9" s="88" t="s">
        <v>28</v>
      </c>
      <c r="E9" s="89" t="s">
        <v>29</v>
      </c>
      <c r="F9" s="90" t="s">
        <v>30</v>
      </c>
    </row>
    <row r="10" ht="13.5" customHeight="1" spans="2:6">
      <c r="B10" s="86">
        <v>2</v>
      </c>
      <c r="C10" s="87" t="s">
        <v>31</v>
      </c>
      <c r="D10" s="88" t="s">
        <v>32</v>
      </c>
      <c r="E10" s="89" t="s">
        <v>33</v>
      </c>
      <c r="F10" s="90" t="s">
        <v>34</v>
      </c>
    </row>
    <row r="11" ht="13.5" customHeight="1" spans="2:6">
      <c r="B11" s="86"/>
      <c r="C11" s="87"/>
      <c r="D11" s="88"/>
      <c r="E11" s="89"/>
      <c r="F11" s="90"/>
    </row>
    <row r="12" ht="13.5" customHeight="1" spans="2:6">
      <c r="B12" s="86"/>
      <c r="C12" s="87"/>
      <c r="D12" s="88"/>
      <c r="E12" s="89"/>
      <c r="F12" s="90"/>
    </row>
    <row r="13" ht="13.5" customHeight="1" spans="2:6">
      <c r="B13" s="86"/>
      <c r="C13" s="87"/>
      <c r="D13" s="88"/>
      <c r="E13" s="89"/>
      <c r="F13" s="90"/>
    </row>
    <row r="14" customHeight="1" spans="2:6">
      <c r="B14" s="86"/>
      <c r="C14" s="87"/>
      <c r="D14" s="91"/>
      <c r="E14" s="91"/>
      <c r="F14" s="90"/>
    </row>
    <row r="15" customHeight="1" spans="2:6">
      <c r="B15" s="86"/>
      <c r="C15" s="87"/>
      <c r="D15" s="91"/>
      <c r="E15" s="91"/>
      <c r="F15" s="90"/>
    </row>
    <row r="16" customHeight="1" spans="2:6">
      <c r="B16" s="86"/>
      <c r="C16" s="87"/>
      <c r="D16" s="91"/>
      <c r="E16" s="91"/>
      <c r="F16" s="90"/>
    </row>
    <row r="17" customHeight="1" spans="2:6">
      <c r="B17" s="86"/>
      <c r="C17" s="87"/>
      <c r="D17" s="91"/>
      <c r="E17" s="91"/>
      <c r="F17" s="90"/>
    </row>
    <row r="18" customHeight="1" spans="2:6">
      <c r="B18" s="86"/>
      <c r="C18" s="87"/>
      <c r="D18" s="91"/>
      <c r="E18" s="91"/>
      <c r="F18" s="90"/>
    </row>
    <row r="19" customHeight="1" spans="2:6">
      <c r="B19" s="86"/>
      <c r="C19" s="87"/>
      <c r="D19" s="91"/>
      <c r="E19" s="91"/>
      <c r="F19" s="90"/>
    </row>
    <row r="20" customHeight="1" spans="2:6">
      <c r="B20" s="86"/>
      <c r="C20" s="87"/>
      <c r="D20" s="91"/>
      <c r="E20" s="91"/>
      <c r="F20" s="90"/>
    </row>
    <row r="21" customHeight="1" spans="2:6">
      <c r="B21" s="92"/>
      <c r="C21" s="93"/>
      <c r="D21" s="94"/>
      <c r="E21" s="94"/>
      <c r="F21" s="95"/>
    </row>
  </sheetData>
  <mergeCells count="6">
    <mergeCell ref="B3:C3"/>
    <mergeCell ref="D3:F3"/>
    <mergeCell ref="B4:C4"/>
    <mergeCell ref="D4:F4"/>
    <mergeCell ref="B5:C5"/>
    <mergeCell ref="D5:F5"/>
  </mergeCells>
  <hyperlinks>
    <hyperlink ref="D9" location="Feature1!A1" display="Feature 1"/>
    <hyperlink ref="D10" location="Feature2!A1" display="Feature 2"/>
  </hyperlinks>
  <pageMargins left="0.747916666666667" right="0.747916666666667" top="0.984027777777778" bottom="1.15069444444444" header="0.511811023622047" footer="0.984027777777778"/>
  <pageSetup paperSize="9" orientation="landscape" horizontalDpi="300" verticalDpi="300"/>
  <headerFooter>
    <oddFooter>&amp;L&amp;"Tahoma,Regular"&amp;8 02ae-BM/PM/HDCV/FSOFT v2/0&amp;C&amp;"tahoma,Regular"&amp;8 Internal use&amp;R&amp;"tahoma,Regular"&amp;8 &amp;P/&amp;N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G21" sqref="G21"/>
    </sheetView>
  </sheetViews>
  <sheetFormatPr defaultColWidth="9" defaultRowHeight="12.75" outlineLevelCol="7"/>
  <cols>
    <col min="1" max="1" width="4.5" style="3" customWidth="1"/>
    <col min="2" max="2" width="18.375" style="3" customWidth="1"/>
    <col min="3" max="3" width="19.375" style="3" customWidth="1"/>
    <col min="4" max="6" width="11.625" style="3" customWidth="1"/>
    <col min="7" max="7" width="9" style="3"/>
    <col min="8" max="8" width="35.5" style="3" customWidth="1"/>
    <col min="9" max="9" width="33.125" style="3" customWidth="1"/>
    <col min="10" max="16384" width="9" style="3"/>
  </cols>
  <sheetData>
    <row r="1" ht="25.5" customHeight="1" spans="2:8">
      <c r="B1" s="35" t="s">
        <v>35</v>
      </c>
      <c r="C1" s="35"/>
      <c r="D1" s="35"/>
      <c r="E1" s="35"/>
      <c r="F1" s="35"/>
      <c r="G1" s="35"/>
      <c r="H1" s="35"/>
    </row>
    <row r="2" ht="14.25" customHeight="1" spans="1:8">
      <c r="A2" s="36"/>
      <c r="B2" s="36"/>
      <c r="H2" s="37"/>
    </row>
    <row r="3" ht="12" customHeight="1" spans="2:8">
      <c r="B3" s="38" t="s">
        <v>1</v>
      </c>
      <c r="C3" s="39" t="s">
        <v>2</v>
      </c>
      <c r="D3" s="39"/>
      <c r="E3" s="40" t="s">
        <v>3</v>
      </c>
      <c r="F3" s="40"/>
      <c r="G3" s="41"/>
      <c r="H3" s="42"/>
    </row>
    <row r="4" ht="12" customHeight="1" spans="2:8">
      <c r="B4" s="38" t="s">
        <v>5</v>
      </c>
      <c r="C4" s="39" t="s">
        <v>6</v>
      </c>
      <c r="D4" s="39"/>
      <c r="E4" s="40" t="s">
        <v>36</v>
      </c>
      <c r="F4" s="40"/>
      <c r="G4" s="41"/>
      <c r="H4" s="42"/>
    </row>
    <row r="5" ht="12" customHeight="1" spans="2:8">
      <c r="B5" s="43" t="s">
        <v>9</v>
      </c>
      <c r="C5" s="39" t="str">
        <f>C4&amp;"_"&amp;"Test Report"&amp;"_"&amp;"vx.x"</f>
        <v>MMS_Test Report_vx.x</v>
      </c>
      <c r="D5" s="39"/>
      <c r="E5" s="40" t="s">
        <v>7</v>
      </c>
      <c r="F5" s="40"/>
      <c r="G5" s="41"/>
      <c r="H5" s="44" t="s">
        <v>8</v>
      </c>
    </row>
    <row r="6" ht="21.75" customHeight="1" spans="1:8">
      <c r="A6" s="36"/>
      <c r="B6" s="43" t="s">
        <v>37</v>
      </c>
      <c r="C6" s="45" t="s">
        <v>38</v>
      </c>
      <c r="D6" s="45"/>
      <c r="E6" s="45"/>
      <c r="F6" s="45"/>
      <c r="G6" s="45"/>
      <c r="H6" s="45"/>
    </row>
    <row r="7" ht="14.25" customHeight="1" spans="1:8">
      <c r="A7" s="36"/>
      <c r="B7" s="46"/>
      <c r="C7" s="47"/>
      <c r="H7" s="37"/>
    </row>
    <row r="8" customHeight="1" spans="2:8">
      <c r="B8" s="46"/>
      <c r="C8" s="47"/>
      <c r="H8" s="37"/>
    </row>
    <row r="10" ht="13.5" customHeight="1" spans="1:8">
      <c r="A10" s="48"/>
      <c r="B10" s="49" t="s">
        <v>22</v>
      </c>
      <c r="C10" s="50" t="s">
        <v>39</v>
      </c>
      <c r="D10" s="51" t="s">
        <v>40</v>
      </c>
      <c r="E10" s="50" t="s">
        <v>41</v>
      </c>
      <c r="F10" s="50" t="s">
        <v>42</v>
      </c>
      <c r="G10" s="52" t="s">
        <v>43</v>
      </c>
      <c r="H10" s="53" t="s">
        <v>44</v>
      </c>
    </row>
    <row r="11" customHeight="1" spans="1:8">
      <c r="A11" s="48"/>
      <c r="B11" s="54">
        <v>1</v>
      </c>
      <c r="C11" s="55" t="str">
        <f>'Feature 1'!B2</f>
        <v>Series Proposal</v>
      </c>
      <c r="D11" s="56">
        <f>'Feature 1'!B6</f>
        <v>14</v>
      </c>
      <c r="E11" s="56">
        <f>'Feature 1'!C6</f>
        <v>0</v>
      </c>
      <c r="F11" s="56">
        <f>'Feature 1'!D6</f>
        <v>0</v>
      </c>
      <c r="G11" s="56">
        <f>'Feature 1'!E6</f>
        <v>0</v>
      </c>
      <c r="H11" s="57">
        <f>'Feature 1'!B4</f>
        <v>14</v>
      </c>
    </row>
    <row r="12" customHeight="1" spans="1:8">
      <c r="A12" s="48"/>
      <c r="B12" s="54">
        <v>2</v>
      </c>
      <c r="C12" s="55" t="str">
        <f>'Feature 2'!B2</f>
        <v>Chapter Creation &amp; Assistant Task Workflow</v>
      </c>
      <c r="D12" s="56">
        <f>'Feature 2'!B6</f>
        <v>9</v>
      </c>
      <c r="E12" s="56">
        <f>'Feature 2'!C6</f>
        <v>0</v>
      </c>
      <c r="F12" s="56">
        <f>'Feature 2'!D6</f>
        <v>0</v>
      </c>
      <c r="G12" s="56">
        <f>'Feature 2'!E6</f>
        <v>0</v>
      </c>
      <c r="H12" s="56">
        <f>'Feature 2'!B4</f>
        <v>9</v>
      </c>
    </row>
    <row r="13" customHeight="1" spans="1:8">
      <c r="A13" s="48"/>
      <c r="B13" s="54"/>
      <c r="C13" s="55"/>
      <c r="D13" s="56"/>
      <c r="E13" s="56"/>
      <c r="F13" s="56"/>
      <c r="G13" s="58"/>
      <c r="H13" s="57"/>
    </row>
    <row r="14" customHeight="1" spans="1:8">
      <c r="A14" s="48"/>
      <c r="B14" s="59"/>
      <c r="C14" s="60" t="s">
        <v>45</v>
      </c>
      <c r="D14" s="61">
        <f>SUM(D9:D13)</f>
        <v>23</v>
      </c>
      <c r="E14" s="61">
        <f>SUM(E9:E13)</f>
        <v>0</v>
      </c>
      <c r="F14" s="61">
        <f>SUM(F9:F13)</f>
        <v>0</v>
      </c>
      <c r="G14" s="61">
        <f>SUM(G9:G13)</f>
        <v>0</v>
      </c>
      <c r="H14" s="62">
        <f>SUM(H9:H13)</f>
        <v>23</v>
      </c>
    </row>
    <row r="15" customHeight="1" spans="2:8">
      <c r="B15" s="63"/>
      <c r="D15" s="64"/>
      <c r="E15" s="65"/>
      <c r="F15" s="65"/>
      <c r="G15" s="65"/>
      <c r="H15" s="65"/>
    </row>
    <row r="16" customHeight="1" spans="3:8">
      <c r="C16" s="66" t="s">
        <v>46</v>
      </c>
      <c r="E16" s="67">
        <f>(D14+E14)*100/(H14-G14)</f>
        <v>100</v>
      </c>
      <c r="F16" s="3" t="s">
        <v>47</v>
      </c>
      <c r="H16" s="23"/>
    </row>
    <row r="17" customHeight="1" spans="3:8">
      <c r="C17" s="66" t="s">
        <v>48</v>
      </c>
      <c r="E17" s="67">
        <f>D14*100/(H14-G14)</f>
        <v>100</v>
      </c>
      <c r="F17" s="3" t="s">
        <v>47</v>
      </c>
      <c r="H17" s="23"/>
    </row>
  </sheetData>
  <mergeCells count="8">
    <mergeCell ref="B1:H1"/>
    <mergeCell ref="C3:D3"/>
    <mergeCell ref="E3:F3"/>
    <mergeCell ref="C4:D4"/>
    <mergeCell ref="E4:F4"/>
    <mergeCell ref="C5:D5"/>
    <mergeCell ref="E5:F5"/>
    <mergeCell ref="C6:H6"/>
  </mergeCells>
  <pageMargins left="0.747916666666667" right="0.747916666666667" top="0.984027777777778" bottom="0.984027777777778" header="0.511811023622047" footer="0.5"/>
  <pageSetup paperSize="1" orientation="landscape" horizontalDpi="300" verticalDpi="300"/>
  <headerFooter>
    <oddFooter>&amp;L&amp;"Tahoma,Regular"&amp;8 02ae-BM/PM/HDCV/FSOFT v2/0&amp;C&amp;"tahoma,Regular"&amp;8 Internal use&amp;R&amp;"Tahoma,Regular"&amp;8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5"/>
  <sheetViews>
    <sheetView topLeftCell="E9" workbookViewId="0">
      <selection activeCell="B3" sqref="B3:E3"/>
    </sheetView>
  </sheetViews>
  <sheetFormatPr defaultColWidth="9" defaultRowHeight="12.75"/>
  <cols>
    <col min="1" max="1" width="17" style="3" customWidth="1"/>
    <col min="2" max="2" width="34.5" style="3" customWidth="1"/>
    <col min="3" max="3" width="33.375" style="3" customWidth="1"/>
    <col min="4" max="4" width="34.625" style="3" customWidth="1"/>
    <col min="5" max="5" width="28.375" style="3" customWidth="1"/>
    <col min="6" max="6" width="9.375" style="3" customWidth="1"/>
    <col min="7" max="7" width="10.625" style="3" customWidth="1" outlineLevel="1"/>
    <col min="8" max="8" width="7" style="3" customWidth="1" outlineLevel="1"/>
    <col min="9" max="9" width="9.375" style="3" customWidth="1"/>
    <col min="10" max="10" width="10.625" style="3" customWidth="1" outlineLevel="1"/>
    <col min="11" max="11" width="7" style="3" customWidth="1" outlineLevel="1"/>
    <col min="12" max="12" width="9.375" style="3" customWidth="1"/>
    <col min="13" max="13" width="10.625" style="3" customWidth="1" outlineLevel="1"/>
    <col min="14" max="14" width="7" style="3" customWidth="1" outlineLevel="1"/>
    <col min="15" max="15" width="28.625" style="3" customWidth="1"/>
    <col min="16" max="16" width="10.125" style="3" customWidth="1"/>
    <col min="17" max="17" width="8.125" style="4" customWidth="1"/>
    <col min="18" max="18" width="7.625" style="3" hidden="1" customWidth="1"/>
    <col min="19" max="16384" width="9" style="3"/>
  </cols>
  <sheetData>
    <row r="1" ht="13.5" customHeight="1"/>
    <row r="2" s="1" customFormat="1" ht="15" customHeight="1" spans="1:18">
      <c r="A2" s="5" t="s">
        <v>49</v>
      </c>
      <c r="B2" s="6" t="s">
        <v>27</v>
      </c>
      <c r="C2" s="6"/>
      <c r="D2" s="6"/>
      <c r="E2" s="6"/>
      <c r="F2" s="7"/>
      <c r="G2" s="8"/>
      <c r="H2" s="9"/>
      <c r="I2" s="7"/>
      <c r="J2" s="8"/>
      <c r="K2" s="9"/>
      <c r="L2" s="7"/>
      <c r="M2" s="8"/>
      <c r="N2" s="9"/>
      <c r="O2" s="9"/>
      <c r="P2" s="9"/>
      <c r="Q2" s="30"/>
      <c r="R2" s="1" t="s">
        <v>40</v>
      </c>
    </row>
    <row r="3" s="1" customFormat="1" ht="13.5" customHeight="1" spans="1:18">
      <c r="A3" s="10" t="s">
        <v>50</v>
      </c>
      <c r="B3" s="11" t="s">
        <v>29</v>
      </c>
      <c r="C3" s="11"/>
      <c r="D3" s="11"/>
      <c r="E3" s="11"/>
      <c r="F3" s="7"/>
      <c r="G3" s="8"/>
      <c r="H3" s="9"/>
      <c r="I3" s="7"/>
      <c r="J3" s="8"/>
      <c r="K3" s="9"/>
      <c r="L3" s="7"/>
      <c r="M3" s="8"/>
      <c r="N3" s="9"/>
      <c r="O3" s="9"/>
      <c r="P3" s="9"/>
      <c r="Q3" s="30"/>
      <c r="R3" s="1" t="s">
        <v>41</v>
      </c>
    </row>
    <row r="4" s="1" customFormat="1" ht="18" customHeight="1" spans="1:18">
      <c r="A4" s="10" t="s">
        <v>51</v>
      </c>
      <c r="B4" s="11">
        <f>COUNTA(A12:A998)</f>
        <v>14</v>
      </c>
      <c r="C4" s="11"/>
      <c r="D4" s="11"/>
      <c r="E4" s="11"/>
      <c r="F4" s="7"/>
      <c r="G4" s="8"/>
      <c r="H4" s="9"/>
      <c r="I4" s="7"/>
      <c r="J4" s="8"/>
      <c r="K4" s="9"/>
      <c r="L4" s="7"/>
      <c r="M4" s="8"/>
      <c r="N4" s="9"/>
      <c r="O4" s="9"/>
      <c r="P4" s="9"/>
      <c r="Q4" s="30"/>
      <c r="R4" s="1" t="s">
        <v>42</v>
      </c>
    </row>
    <row r="5" s="1" customFormat="1" ht="19.5" customHeight="1" spans="1:18">
      <c r="A5" s="12" t="s">
        <v>52</v>
      </c>
      <c r="B5" s="13" t="s">
        <v>40</v>
      </c>
      <c r="C5" s="13" t="s">
        <v>41</v>
      </c>
      <c r="D5" s="13" t="s">
        <v>42</v>
      </c>
      <c r="E5" s="14" t="s">
        <v>43</v>
      </c>
      <c r="F5" s="15"/>
      <c r="G5" s="15"/>
      <c r="H5" s="16"/>
      <c r="I5" s="15"/>
      <c r="J5" s="15"/>
      <c r="K5" s="16"/>
      <c r="L5" s="15"/>
      <c r="M5" s="15"/>
      <c r="N5" s="16"/>
      <c r="O5" s="16"/>
      <c r="P5" s="16"/>
      <c r="Q5" s="31"/>
      <c r="R5" s="1" t="s">
        <v>43</v>
      </c>
    </row>
    <row r="6" s="1" customFormat="1" ht="15" customHeight="1" spans="1:17">
      <c r="A6" s="12" t="s">
        <v>53</v>
      </c>
      <c r="B6" s="17">
        <f>COUNTIF($F$12:$F$996,B5)</f>
        <v>14</v>
      </c>
      <c r="C6" s="17">
        <f>COUNTIF($F$12:$F$996,C5)</f>
        <v>0</v>
      </c>
      <c r="D6" s="17">
        <f>COUNTIF($F$12:$F$996,D5)</f>
        <v>0</v>
      </c>
      <c r="E6" s="18">
        <f>COUNTIF($F$12:$F$996,E5)</f>
        <v>0</v>
      </c>
      <c r="F6" s="19"/>
      <c r="G6" s="19"/>
      <c r="H6" s="16"/>
      <c r="I6" s="19"/>
      <c r="J6" s="19"/>
      <c r="K6" s="16"/>
      <c r="L6" s="19"/>
      <c r="M6" s="19"/>
      <c r="N6" s="16"/>
      <c r="O6" s="16"/>
      <c r="P6" s="16"/>
      <c r="Q6" s="31"/>
    </row>
    <row r="7" s="1" customFormat="1" ht="15" customHeight="1" spans="1:17">
      <c r="A7" s="12" t="s">
        <v>54</v>
      </c>
      <c r="B7" s="17">
        <f>COUNTIF($F$12:$F$996,B5)</f>
        <v>14</v>
      </c>
      <c r="C7" s="17">
        <f>COUNTIF($F$12:$F$996,C5)</f>
        <v>0</v>
      </c>
      <c r="D7" s="17">
        <f>COUNTIF($F$12:$F$996,D5)</f>
        <v>0</v>
      </c>
      <c r="E7" s="18">
        <f>COUNTIF($F$12:$F$996,E5)</f>
        <v>0</v>
      </c>
      <c r="F7" s="19"/>
      <c r="G7" s="19"/>
      <c r="H7" s="16"/>
      <c r="I7" s="19"/>
      <c r="J7" s="19"/>
      <c r="K7" s="16"/>
      <c r="L7" s="19"/>
      <c r="M7" s="19"/>
      <c r="N7" s="16"/>
      <c r="O7" s="16"/>
      <c r="P7" s="16"/>
      <c r="Q7" s="31"/>
    </row>
    <row r="8" s="1" customFormat="1" ht="15" customHeight="1" spans="1:17">
      <c r="A8" s="20" t="s">
        <v>55</v>
      </c>
      <c r="B8" s="21">
        <f>COUNTIF($F$12:$F$996,B5)</f>
        <v>14</v>
      </c>
      <c r="C8" s="21">
        <f>COUNTIF($F$12:$F$996,C5)</f>
        <v>0</v>
      </c>
      <c r="D8" s="21">
        <f>COUNTIF($F$12:$F$996,D5)</f>
        <v>0</v>
      </c>
      <c r="E8" s="22">
        <f>COUNTIF($F$12:$F$996,E5)</f>
        <v>0</v>
      </c>
      <c r="F8" s="19"/>
      <c r="G8" s="19"/>
      <c r="H8" s="16"/>
      <c r="I8" s="19"/>
      <c r="J8" s="19"/>
      <c r="K8" s="16"/>
      <c r="L8" s="19"/>
      <c r="M8" s="19"/>
      <c r="N8" s="16"/>
      <c r="O8" s="16"/>
      <c r="P8" s="16"/>
      <c r="Q8" s="31"/>
    </row>
    <row r="9" s="1" customFormat="1" ht="15" customHeight="1" spans="1:17">
      <c r="A9" s="16"/>
      <c r="B9" s="16"/>
      <c r="C9" s="16"/>
      <c r="D9" s="16"/>
      <c r="E9" s="16"/>
      <c r="F9" s="23"/>
      <c r="G9" s="16"/>
      <c r="H9" s="16"/>
      <c r="I9" s="23"/>
      <c r="J9" s="16"/>
      <c r="K9" s="16"/>
      <c r="L9" s="23"/>
      <c r="M9" s="16"/>
      <c r="N9" s="16"/>
      <c r="O9" s="16"/>
      <c r="P9" s="16"/>
      <c r="Q9" s="31"/>
    </row>
    <row r="10" s="1" customFormat="1" ht="25.5" customHeight="1" spans="1:17">
      <c r="A10" s="24" t="s">
        <v>56</v>
      </c>
      <c r="B10" s="24" t="s">
        <v>57</v>
      </c>
      <c r="C10" s="24" t="s">
        <v>58</v>
      </c>
      <c r="D10" s="24" t="s">
        <v>59</v>
      </c>
      <c r="E10" s="24" t="s">
        <v>60</v>
      </c>
      <c r="F10" s="24" t="s">
        <v>53</v>
      </c>
      <c r="G10" s="24" t="s">
        <v>61</v>
      </c>
      <c r="H10" s="24" t="s">
        <v>62</v>
      </c>
      <c r="I10" s="24" t="s">
        <v>54</v>
      </c>
      <c r="J10" s="24" t="s">
        <v>61</v>
      </c>
      <c r="K10" s="24" t="s">
        <v>62</v>
      </c>
      <c r="L10" s="24" t="s">
        <v>55</v>
      </c>
      <c r="M10" s="24" t="s">
        <v>61</v>
      </c>
      <c r="N10" s="24" t="s">
        <v>62</v>
      </c>
      <c r="O10" s="24" t="s">
        <v>63</v>
      </c>
      <c r="Q10" s="32"/>
    </row>
    <row r="11" s="1" customFormat="1" ht="15.75" customHeight="1" spans="1:17">
      <c r="A11" s="25" t="s">
        <v>64</v>
      </c>
      <c r="B11" s="25"/>
      <c r="C11" s="26"/>
      <c r="D11" s="26"/>
      <c r="E11" s="26"/>
      <c r="F11" s="26"/>
      <c r="G11" s="26"/>
      <c r="H11" s="26"/>
      <c r="I11" s="26"/>
      <c r="J11" s="26"/>
      <c r="K11" s="26"/>
      <c r="L11" s="26"/>
      <c r="M11" s="26"/>
      <c r="N11" s="26"/>
      <c r="O11" s="29"/>
      <c r="Q11" s="33"/>
    </row>
    <row r="12" s="2" customFormat="1" ht="120.75" customHeight="1" outlineLevel="1" spans="1:17">
      <c r="A12" s="27" t="s">
        <v>65</v>
      </c>
      <c r="B12" s="27" t="s">
        <v>66</v>
      </c>
      <c r="C12" s="27" t="s">
        <v>67</v>
      </c>
      <c r="D12" s="28" t="s">
        <v>68</v>
      </c>
      <c r="E12" s="28" t="s">
        <v>69</v>
      </c>
      <c r="F12" s="27" t="s">
        <v>40</v>
      </c>
      <c r="G12" s="27"/>
      <c r="H12" s="27"/>
      <c r="I12" s="27" t="s">
        <v>40</v>
      </c>
      <c r="J12" s="27"/>
      <c r="K12" s="27"/>
      <c r="L12" s="27" t="s">
        <v>40</v>
      </c>
      <c r="M12" s="27"/>
      <c r="N12" s="27"/>
      <c r="O12" s="27"/>
      <c r="Q12" s="34"/>
    </row>
    <row r="13" ht="120.75" customHeight="1" outlineLevel="1" spans="1:17">
      <c r="A13" s="27" t="s">
        <v>70</v>
      </c>
      <c r="B13" s="27" t="s">
        <v>71</v>
      </c>
      <c r="C13" s="27" t="s">
        <v>72</v>
      </c>
      <c r="D13" s="28" t="s">
        <v>73</v>
      </c>
      <c r="E13" s="28" t="s">
        <v>74</v>
      </c>
      <c r="F13" s="27" t="s">
        <v>40</v>
      </c>
      <c r="G13" s="27"/>
      <c r="H13" s="27"/>
      <c r="I13" s="27" t="s">
        <v>40</v>
      </c>
      <c r="J13" s="27"/>
      <c r="K13" s="27"/>
      <c r="L13" s="27" t="s">
        <v>40</v>
      </c>
      <c r="M13" s="27"/>
      <c r="N13" s="27"/>
      <c r="O13" s="27"/>
      <c r="Q13" s="34"/>
    </row>
    <row r="14" ht="120.75" customHeight="1" outlineLevel="1" spans="1:17">
      <c r="A14" s="27" t="s">
        <v>75</v>
      </c>
      <c r="B14" s="27" t="s">
        <v>76</v>
      </c>
      <c r="C14" s="27" t="s">
        <v>77</v>
      </c>
      <c r="D14" s="28" t="s">
        <v>78</v>
      </c>
      <c r="E14" s="28" t="s">
        <v>79</v>
      </c>
      <c r="F14" s="27" t="s">
        <v>40</v>
      </c>
      <c r="G14" s="27"/>
      <c r="H14" s="27"/>
      <c r="I14" s="27" t="s">
        <v>40</v>
      </c>
      <c r="J14" s="27"/>
      <c r="K14" s="27"/>
      <c r="L14" s="27" t="s">
        <v>40</v>
      </c>
      <c r="M14" s="27"/>
      <c r="N14" s="27"/>
      <c r="O14" s="27" t="s">
        <v>80</v>
      </c>
      <c r="Q14" s="34"/>
    </row>
    <row r="15" s="1" customFormat="1" ht="120.75" customHeight="1" spans="1:17">
      <c r="A15" s="27" t="s">
        <v>81</v>
      </c>
      <c r="B15" s="27" t="s">
        <v>82</v>
      </c>
      <c r="C15" s="27" t="s">
        <v>83</v>
      </c>
      <c r="D15" s="28" t="s">
        <v>84</v>
      </c>
      <c r="E15" s="28" t="s">
        <v>85</v>
      </c>
      <c r="F15" s="27" t="s">
        <v>40</v>
      </c>
      <c r="G15" s="27"/>
      <c r="H15" s="27"/>
      <c r="I15" s="27" t="s">
        <v>40</v>
      </c>
      <c r="J15" s="27"/>
      <c r="K15" s="27"/>
      <c r="L15" s="27" t="s">
        <v>40</v>
      </c>
      <c r="M15" s="27"/>
      <c r="N15" s="27"/>
      <c r="O15" s="27" t="s">
        <v>80</v>
      </c>
      <c r="Q15" s="33"/>
    </row>
    <row r="16" ht="120.75" customHeight="1" outlineLevel="1" spans="1:17">
      <c r="A16" s="27" t="s">
        <v>86</v>
      </c>
      <c r="B16" s="27" t="s">
        <v>87</v>
      </c>
      <c r="C16" s="27" t="s">
        <v>88</v>
      </c>
      <c r="D16" s="28" t="s">
        <v>89</v>
      </c>
      <c r="E16" s="28" t="s">
        <v>85</v>
      </c>
      <c r="F16" s="27" t="s">
        <v>40</v>
      </c>
      <c r="G16" s="27"/>
      <c r="H16" s="27"/>
      <c r="I16" s="27" t="s">
        <v>40</v>
      </c>
      <c r="J16" s="27"/>
      <c r="K16" s="27"/>
      <c r="L16" s="27" t="s">
        <v>40</v>
      </c>
      <c r="M16" s="27"/>
      <c r="N16" s="27"/>
      <c r="O16" s="27" t="s">
        <v>80</v>
      </c>
      <c r="Q16" s="34"/>
    </row>
    <row r="17" ht="120.75" customHeight="1" outlineLevel="1" spans="1:15">
      <c r="A17" s="27" t="s">
        <v>90</v>
      </c>
      <c r="B17" s="27" t="s">
        <v>91</v>
      </c>
      <c r="C17" s="27" t="s">
        <v>92</v>
      </c>
      <c r="D17" s="28" t="s">
        <v>93</v>
      </c>
      <c r="E17" s="28" t="s">
        <v>85</v>
      </c>
      <c r="F17" s="27" t="s">
        <v>40</v>
      </c>
      <c r="G17" s="27"/>
      <c r="H17" s="27"/>
      <c r="I17" s="27" t="s">
        <v>40</v>
      </c>
      <c r="J17" s="27"/>
      <c r="K17" s="27"/>
      <c r="L17" s="27" t="s">
        <v>40</v>
      </c>
      <c r="M17" s="27"/>
      <c r="N17" s="27"/>
      <c r="O17" s="27" t="s">
        <v>80</v>
      </c>
    </row>
    <row r="18" ht="120.75" customHeight="1" spans="1:15">
      <c r="A18" s="27" t="s">
        <v>94</v>
      </c>
      <c r="B18" s="27" t="s">
        <v>95</v>
      </c>
      <c r="C18" s="27" t="s">
        <v>96</v>
      </c>
      <c r="D18" s="28" t="s">
        <v>97</v>
      </c>
      <c r="E18" s="28" t="s">
        <v>98</v>
      </c>
      <c r="F18" s="27" t="s">
        <v>40</v>
      </c>
      <c r="G18" s="27"/>
      <c r="H18" s="27"/>
      <c r="I18" s="27" t="s">
        <v>40</v>
      </c>
      <c r="J18" s="27"/>
      <c r="K18" s="27"/>
      <c r="L18" s="27" t="s">
        <v>40</v>
      </c>
      <c r="M18" s="27"/>
      <c r="N18" s="27"/>
      <c r="O18" s="27" t="s">
        <v>99</v>
      </c>
    </row>
    <row r="19" ht="120.75" customHeight="1" spans="1:15">
      <c r="A19" s="27" t="s">
        <v>100</v>
      </c>
      <c r="B19" s="27" t="s">
        <v>101</v>
      </c>
      <c r="C19" s="27" t="s">
        <v>102</v>
      </c>
      <c r="D19" s="28" t="s">
        <v>103</v>
      </c>
      <c r="E19" s="28" t="s">
        <v>104</v>
      </c>
      <c r="F19" s="27" t="s">
        <v>40</v>
      </c>
      <c r="G19" s="27"/>
      <c r="H19" s="27"/>
      <c r="I19" s="27" t="s">
        <v>40</v>
      </c>
      <c r="J19" s="27"/>
      <c r="K19" s="27"/>
      <c r="L19" s="27" t="s">
        <v>40</v>
      </c>
      <c r="M19" s="27"/>
      <c r="N19" s="27"/>
      <c r="O19" s="27" t="s">
        <v>105</v>
      </c>
    </row>
    <row r="20" ht="120.75" customHeight="1" spans="1:15">
      <c r="A20" s="27" t="s">
        <v>106</v>
      </c>
      <c r="B20" s="27" t="s">
        <v>107</v>
      </c>
      <c r="C20" s="27" t="s">
        <v>108</v>
      </c>
      <c r="D20" s="28" t="s">
        <v>109</v>
      </c>
      <c r="E20" s="28" t="s">
        <v>110</v>
      </c>
      <c r="F20" s="27" t="s">
        <v>40</v>
      </c>
      <c r="G20" s="27"/>
      <c r="H20" s="27"/>
      <c r="I20" s="27" t="s">
        <v>40</v>
      </c>
      <c r="J20" s="27"/>
      <c r="K20" s="27"/>
      <c r="L20" s="27" t="s">
        <v>40</v>
      </c>
      <c r="M20" s="27"/>
      <c r="N20" s="27"/>
      <c r="O20" s="27"/>
    </row>
    <row r="21" ht="120.75" customHeight="1" spans="1:15">
      <c r="A21" s="27" t="s">
        <v>111</v>
      </c>
      <c r="B21" s="27" t="s">
        <v>112</v>
      </c>
      <c r="C21" s="27" t="s">
        <v>113</v>
      </c>
      <c r="D21" s="28" t="s">
        <v>114</v>
      </c>
      <c r="E21" s="28" t="s">
        <v>115</v>
      </c>
      <c r="F21" s="27" t="s">
        <v>40</v>
      </c>
      <c r="G21" s="27"/>
      <c r="H21" s="27"/>
      <c r="I21" s="27" t="s">
        <v>40</v>
      </c>
      <c r="J21" s="27"/>
      <c r="K21" s="27"/>
      <c r="L21" s="27" t="s">
        <v>40</v>
      </c>
      <c r="M21" s="27"/>
      <c r="N21" s="27"/>
      <c r="O21" s="27" t="s">
        <v>116</v>
      </c>
    </row>
    <row r="22" ht="120.75" customHeight="1" spans="1:15">
      <c r="A22" s="27" t="s">
        <v>117</v>
      </c>
      <c r="B22" s="27" t="s">
        <v>118</v>
      </c>
      <c r="C22" s="27" t="s">
        <v>119</v>
      </c>
      <c r="D22" s="28" t="s">
        <v>120</v>
      </c>
      <c r="E22" s="28" t="s">
        <v>121</v>
      </c>
      <c r="F22" s="27" t="s">
        <v>40</v>
      </c>
      <c r="G22" s="27"/>
      <c r="H22" s="27"/>
      <c r="I22" s="27" t="s">
        <v>40</v>
      </c>
      <c r="J22" s="27"/>
      <c r="K22" s="27"/>
      <c r="L22" s="27" t="s">
        <v>40</v>
      </c>
      <c r="M22" s="27"/>
      <c r="N22" s="27"/>
      <c r="O22" s="27"/>
    </row>
    <row r="23" ht="120.75" customHeight="1" spans="1:15">
      <c r="A23" s="27" t="s">
        <v>122</v>
      </c>
      <c r="B23" s="27" t="s">
        <v>123</v>
      </c>
      <c r="C23" s="27" t="s">
        <v>124</v>
      </c>
      <c r="D23" s="28" t="s">
        <v>125</v>
      </c>
      <c r="E23" s="28" t="s">
        <v>126</v>
      </c>
      <c r="F23" s="27" t="s">
        <v>40</v>
      </c>
      <c r="G23" s="27"/>
      <c r="H23" s="27"/>
      <c r="I23" s="27" t="s">
        <v>40</v>
      </c>
      <c r="J23" s="27"/>
      <c r="K23" s="27"/>
      <c r="L23" s="27" t="s">
        <v>40</v>
      </c>
      <c r="M23" s="27"/>
      <c r="N23" s="27"/>
      <c r="O23" s="27"/>
    </row>
    <row r="24" ht="120.75" customHeight="1" spans="1:15">
      <c r="A24" s="27" t="s">
        <v>127</v>
      </c>
      <c r="B24" s="27" t="s">
        <v>128</v>
      </c>
      <c r="C24" s="27" t="s">
        <v>129</v>
      </c>
      <c r="D24" s="28" t="s">
        <v>130</v>
      </c>
      <c r="E24" s="28" t="s">
        <v>131</v>
      </c>
      <c r="F24" s="27" t="s">
        <v>40</v>
      </c>
      <c r="G24" s="27"/>
      <c r="H24" s="27"/>
      <c r="I24" s="27" t="s">
        <v>40</v>
      </c>
      <c r="J24" s="27"/>
      <c r="K24" s="27"/>
      <c r="L24" s="27" t="s">
        <v>40</v>
      </c>
      <c r="M24" s="27"/>
      <c r="N24" s="27"/>
      <c r="O24" s="27"/>
    </row>
    <row r="25" ht="120.75" customHeight="1" spans="1:15">
      <c r="A25" s="27" t="s">
        <v>132</v>
      </c>
      <c r="B25" s="27" t="s">
        <v>133</v>
      </c>
      <c r="C25" s="27" t="s">
        <v>134</v>
      </c>
      <c r="D25" s="28" t="s">
        <v>135</v>
      </c>
      <c r="E25" s="28" t="s">
        <v>136</v>
      </c>
      <c r="F25" s="27" t="s">
        <v>40</v>
      </c>
      <c r="G25" s="27"/>
      <c r="H25" s="27"/>
      <c r="I25" s="27" t="s">
        <v>40</v>
      </c>
      <c r="J25" s="27"/>
      <c r="K25" s="27"/>
      <c r="L25" s="27" t="s">
        <v>40</v>
      </c>
      <c r="M25" s="27"/>
      <c r="N25" s="27"/>
      <c r="O25" s="27"/>
    </row>
  </sheetData>
  <mergeCells count="3">
    <mergeCell ref="B2:E2"/>
    <mergeCell ref="B3:E3"/>
    <mergeCell ref="B4:E4"/>
  </mergeCells>
  <dataValidations count="2">
    <dataValidation type="list" allowBlank="1" showErrorMessage="1" sqref="G9 J9 M9 F12:F17 G2:G3 G18:G145 I12:I17 J2:J3 J18:J145 L12:L17 M2:M3 M18:M145">
      <formula1>$R$2:$R$5</formula1>
    </dataValidation>
    <dataValidation allowBlank="1" showErrorMessage="1" sqref="F10 I10 L10"/>
  </dataValidations>
  <pageMargins left="0.7" right="0.7" top="0.75" bottom="0.75" header="0.511811023622047" footer="0.511811023622047"/>
  <pageSetup paperSize="9"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
  <sheetViews>
    <sheetView topLeftCell="A12" workbookViewId="0">
      <selection activeCell="B12" sqref="B12"/>
    </sheetView>
  </sheetViews>
  <sheetFormatPr defaultColWidth="9" defaultRowHeight="12.75"/>
  <cols>
    <col min="1" max="1" width="17" style="3" customWidth="1"/>
    <col min="2" max="2" width="34.5" style="3" customWidth="1"/>
    <col min="3" max="3" width="33.375" style="3" customWidth="1"/>
    <col min="4" max="4" width="34.625" style="3" customWidth="1"/>
    <col min="5" max="5" width="28.375" style="3" customWidth="1"/>
    <col min="6" max="6" width="9.375" style="3" customWidth="1"/>
    <col min="7" max="7" width="10.625" style="3" customWidth="1" outlineLevel="1"/>
    <col min="8" max="8" width="7" style="3" customWidth="1" outlineLevel="1"/>
    <col min="9" max="9" width="9.375" style="3" customWidth="1"/>
    <col min="10" max="10" width="10.625" style="3" customWidth="1" outlineLevel="1"/>
    <col min="11" max="11" width="7" style="3" customWidth="1" outlineLevel="1"/>
    <col min="12" max="12" width="9.375" style="3" customWidth="1"/>
    <col min="13" max="13" width="10.625" style="3" customWidth="1" outlineLevel="1"/>
    <col min="14" max="14" width="7" style="3" customWidth="1" outlineLevel="1"/>
    <col min="15" max="15" width="28.625" style="3" customWidth="1"/>
    <col min="16" max="16" width="10.125" style="3" customWidth="1"/>
    <col min="17" max="17" width="8.125" style="4" customWidth="1"/>
    <col min="18" max="18" width="7.625" style="3" hidden="1" customWidth="1"/>
    <col min="19" max="16384" width="9" style="3"/>
  </cols>
  <sheetData>
    <row r="1" ht="13.5" customHeight="1"/>
    <row r="2" s="1" customFormat="1" ht="15" customHeight="1" spans="1:18">
      <c r="A2" s="5" t="s">
        <v>49</v>
      </c>
      <c r="B2" s="6" t="s">
        <v>31</v>
      </c>
      <c r="C2" s="6"/>
      <c r="D2" s="6"/>
      <c r="E2" s="6"/>
      <c r="F2" s="7"/>
      <c r="G2" s="8"/>
      <c r="H2" s="9"/>
      <c r="I2" s="7"/>
      <c r="J2" s="8"/>
      <c r="K2" s="9"/>
      <c r="L2" s="7"/>
      <c r="M2" s="8"/>
      <c r="N2" s="9"/>
      <c r="O2" s="9"/>
      <c r="P2" s="9"/>
      <c r="Q2" s="30"/>
      <c r="R2" s="1" t="s">
        <v>40</v>
      </c>
    </row>
    <row r="3" s="1" customFormat="1" ht="13.5" customHeight="1" spans="1:18">
      <c r="A3" s="10" t="s">
        <v>50</v>
      </c>
      <c r="B3" s="11" t="s">
        <v>33</v>
      </c>
      <c r="C3" s="11"/>
      <c r="D3" s="11"/>
      <c r="E3" s="11"/>
      <c r="F3" s="7"/>
      <c r="G3" s="8"/>
      <c r="H3" s="9"/>
      <c r="I3" s="7"/>
      <c r="J3" s="8"/>
      <c r="K3" s="9"/>
      <c r="L3" s="7"/>
      <c r="M3" s="8"/>
      <c r="N3" s="9"/>
      <c r="O3" s="9"/>
      <c r="P3" s="9"/>
      <c r="Q3" s="30"/>
      <c r="R3" s="1" t="s">
        <v>41</v>
      </c>
    </row>
    <row r="4" s="1" customFormat="1" ht="18" customHeight="1" spans="1:18">
      <c r="A4" s="10" t="s">
        <v>51</v>
      </c>
      <c r="B4" s="11">
        <f>COUNTA(A12:A998)</f>
        <v>9</v>
      </c>
      <c r="C4" s="11"/>
      <c r="D4" s="11"/>
      <c r="E4" s="11"/>
      <c r="F4" s="7"/>
      <c r="G4" s="8"/>
      <c r="H4" s="9"/>
      <c r="I4" s="7"/>
      <c r="J4" s="8"/>
      <c r="K4" s="9"/>
      <c r="L4" s="7"/>
      <c r="M4" s="8"/>
      <c r="N4" s="9"/>
      <c r="O4" s="9"/>
      <c r="P4" s="9"/>
      <c r="Q4" s="30"/>
      <c r="R4" s="1" t="s">
        <v>42</v>
      </c>
    </row>
    <row r="5" s="1" customFormat="1" ht="19.5" customHeight="1" spans="1:18">
      <c r="A5" s="12" t="s">
        <v>52</v>
      </c>
      <c r="B5" s="13" t="s">
        <v>40</v>
      </c>
      <c r="C5" s="13" t="s">
        <v>41</v>
      </c>
      <c r="D5" s="13" t="s">
        <v>42</v>
      </c>
      <c r="E5" s="14" t="s">
        <v>43</v>
      </c>
      <c r="F5" s="15"/>
      <c r="G5" s="15"/>
      <c r="H5" s="16"/>
      <c r="I5" s="15"/>
      <c r="J5" s="15"/>
      <c r="K5" s="16"/>
      <c r="L5" s="15"/>
      <c r="M5" s="15"/>
      <c r="N5" s="16"/>
      <c r="O5" s="16"/>
      <c r="P5" s="16"/>
      <c r="Q5" s="31"/>
      <c r="R5" s="1" t="s">
        <v>43</v>
      </c>
    </row>
    <row r="6" s="1" customFormat="1" ht="15" customHeight="1" spans="1:17">
      <c r="A6" s="12" t="s">
        <v>53</v>
      </c>
      <c r="B6" s="17">
        <f>COUNTIF($F$12:$F$996,B5)</f>
        <v>9</v>
      </c>
      <c r="C6" s="17">
        <f>COUNTIF($F$12:$F$996,C5)</f>
        <v>0</v>
      </c>
      <c r="D6" s="17">
        <f>COUNTIF($F$12:$F$996,D5)</f>
        <v>0</v>
      </c>
      <c r="E6" s="18">
        <f>COUNTIF($F$12:$F$996,E5)</f>
        <v>0</v>
      </c>
      <c r="F6" s="19"/>
      <c r="G6" s="19"/>
      <c r="H6" s="16"/>
      <c r="I6" s="19"/>
      <c r="J6" s="19"/>
      <c r="K6" s="16"/>
      <c r="L6" s="19"/>
      <c r="M6" s="19"/>
      <c r="N6" s="16"/>
      <c r="O6" s="16"/>
      <c r="P6" s="16"/>
      <c r="Q6" s="31"/>
    </row>
    <row r="7" s="1" customFormat="1" ht="15" customHeight="1" spans="1:17">
      <c r="A7" s="12" t="s">
        <v>54</v>
      </c>
      <c r="B7" s="17">
        <f>COUNTIF($F$12:$F$996,B5)</f>
        <v>9</v>
      </c>
      <c r="C7" s="17">
        <f>COUNTIF($F$12:$F$996,C5)</f>
        <v>0</v>
      </c>
      <c r="D7" s="17">
        <f>COUNTIF($F$12:$F$996,D5)</f>
        <v>0</v>
      </c>
      <c r="E7" s="18">
        <f>COUNTIF($F$12:$F$996,E5)</f>
        <v>0</v>
      </c>
      <c r="F7" s="19"/>
      <c r="G7" s="19"/>
      <c r="H7" s="16"/>
      <c r="I7" s="19"/>
      <c r="J7" s="19"/>
      <c r="K7" s="16"/>
      <c r="L7" s="19"/>
      <c r="M7" s="19"/>
      <c r="N7" s="16"/>
      <c r="O7" s="16"/>
      <c r="P7" s="16"/>
      <c r="Q7" s="31"/>
    </row>
    <row r="8" s="1" customFormat="1" ht="15" customHeight="1" spans="1:17">
      <c r="A8" s="20" t="s">
        <v>55</v>
      </c>
      <c r="B8" s="21">
        <f>COUNTIF($F$12:$F$996,B5)</f>
        <v>9</v>
      </c>
      <c r="C8" s="21">
        <f>COUNTIF($F$12:$F$996,C5)</f>
        <v>0</v>
      </c>
      <c r="D8" s="21">
        <f>COUNTIF($F$12:$F$996,D5)</f>
        <v>0</v>
      </c>
      <c r="E8" s="22">
        <f>COUNTIF($F$12:$F$996,E5)</f>
        <v>0</v>
      </c>
      <c r="F8" s="19"/>
      <c r="G8" s="19"/>
      <c r="H8" s="16"/>
      <c r="I8" s="19"/>
      <c r="J8" s="19"/>
      <c r="K8" s="16"/>
      <c r="L8" s="19"/>
      <c r="M8" s="19"/>
      <c r="N8" s="16"/>
      <c r="O8" s="16"/>
      <c r="P8" s="16"/>
      <c r="Q8" s="31"/>
    </row>
    <row r="9" s="1" customFormat="1" ht="15" customHeight="1" spans="1:17">
      <c r="A9" s="16"/>
      <c r="B9" s="16"/>
      <c r="C9" s="16"/>
      <c r="D9" s="16"/>
      <c r="E9" s="16"/>
      <c r="F9" s="23"/>
      <c r="G9" s="16"/>
      <c r="H9" s="16"/>
      <c r="I9" s="23"/>
      <c r="J9" s="16"/>
      <c r="K9" s="16"/>
      <c r="L9" s="23"/>
      <c r="M9" s="16"/>
      <c r="N9" s="16"/>
      <c r="O9" s="16"/>
      <c r="P9" s="16"/>
      <c r="Q9" s="31"/>
    </row>
    <row r="10" s="1" customFormat="1" ht="25.5" customHeight="1" spans="1:17">
      <c r="A10" s="24" t="s">
        <v>56</v>
      </c>
      <c r="B10" s="24" t="s">
        <v>57</v>
      </c>
      <c r="C10" s="24" t="s">
        <v>58</v>
      </c>
      <c r="D10" s="24" t="s">
        <v>59</v>
      </c>
      <c r="E10" s="24" t="s">
        <v>60</v>
      </c>
      <c r="F10" s="24" t="s">
        <v>53</v>
      </c>
      <c r="G10" s="24" t="s">
        <v>61</v>
      </c>
      <c r="H10" s="24" t="s">
        <v>62</v>
      </c>
      <c r="I10" s="24" t="s">
        <v>54</v>
      </c>
      <c r="J10" s="24" t="s">
        <v>61</v>
      </c>
      <c r="K10" s="24" t="s">
        <v>62</v>
      </c>
      <c r="L10" s="24" t="s">
        <v>55</v>
      </c>
      <c r="M10" s="24" t="s">
        <v>61</v>
      </c>
      <c r="N10" s="24" t="s">
        <v>62</v>
      </c>
      <c r="O10" s="24" t="s">
        <v>63</v>
      </c>
      <c r="Q10" s="32"/>
    </row>
    <row r="11" s="1" customFormat="1" ht="15.75" customHeight="1" spans="1:17">
      <c r="A11" s="25" t="s">
        <v>64</v>
      </c>
      <c r="B11" s="25"/>
      <c r="C11" s="26"/>
      <c r="D11" s="26"/>
      <c r="E11" s="26"/>
      <c r="F11" s="26"/>
      <c r="G11" s="26"/>
      <c r="H11" s="26"/>
      <c r="I11" s="26"/>
      <c r="J11" s="26"/>
      <c r="K11" s="26"/>
      <c r="L11" s="26"/>
      <c r="M11" s="26"/>
      <c r="N11" s="26"/>
      <c r="O11" s="29"/>
      <c r="Q11" s="33"/>
    </row>
    <row r="12" s="2" customFormat="1" ht="120.75" customHeight="1" outlineLevel="1" spans="1:17">
      <c r="A12" s="27" t="s">
        <v>137</v>
      </c>
      <c r="B12" s="27" t="s">
        <v>138</v>
      </c>
      <c r="C12" s="27" t="s">
        <v>139</v>
      </c>
      <c r="D12" s="28" t="s">
        <v>140</v>
      </c>
      <c r="E12" s="28" t="s">
        <v>141</v>
      </c>
      <c r="F12" s="27" t="s">
        <v>40</v>
      </c>
      <c r="G12" s="27"/>
      <c r="H12" s="27"/>
      <c r="I12" s="27" t="s">
        <v>40</v>
      </c>
      <c r="J12" s="27"/>
      <c r="K12" s="27"/>
      <c r="L12" s="27" t="s">
        <v>40</v>
      </c>
      <c r="M12" s="27"/>
      <c r="N12" s="27"/>
      <c r="O12" s="27"/>
      <c r="Q12" s="34"/>
    </row>
    <row r="13" ht="120.75" customHeight="1" outlineLevel="1" spans="1:17">
      <c r="A13" s="27" t="s">
        <v>142</v>
      </c>
      <c r="B13" s="27" t="s">
        <v>143</v>
      </c>
      <c r="C13" s="27" t="s">
        <v>144</v>
      </c>
      <c r="D13" s="28" t="s">
        <v>145</v>
      </c>
      <c r="E13" s="28" t="s">
        <v>146</v>
      </c>
      <c r="F13" s="27" t="s">
        <v>40</v>
      </c>
      <c r="G13" s="27"/>
      <c r="H13" s="27"/>
      <c r="I13" s="27" t="s">
        <v>40</v>
      </c>
      <c r="J13" s="27"/>
      <c r="K13" s="27"/>
      <c r="L13" s="27" t="s">
        <v>40</v>
      </c>
      <c r="M13" s="27"/>
      <c r="N13" s="27"/>
      <c r="O13" s="27"/>
      <c r="Q13" s="34"/>
    </row>
    <row r="14" ht="120.75" customHeight="1" outlineLevel="1" spans="1:17">
      <c r="A14" s="27" t="s">
        <v>147</v>
      </c>
      <c r="B14" s="27" t="s">
        <v>148</v>
      </c>
      <c r="C14" s="27" t="s">
        <v>149</v>
      </c>
      <c r="D14" s="28" t="s">
        <v>150</v>
      </c>
      <c r="E14" s="28" t="s">
        <v>151</v>
      </c>
      <c r="F14" s="27" t="s">
        <v>40</v>
      </c>
      <c r="G14" s="27"/>
      <c r="H14" s="27"/>
      <c r="I14" s="27" t="s">
        <v>40</v>
      </c>
      <c r="J14" s="27"/>
      <c r="K14" s="27"/>
      <c r="L14" s="27" t="s">
        <v>40</v>
      </c>
      <c r="M14" s="27"/>
      <c r="N14" s="27"/>
      <c r="O14" s="27"/>
      <c r="Q14" s="34"/>
    </row>
    <row r="15" s="1" customFormat="1" ht="120.75" customHeight="1" spans="1:17">
      <c r="A15" s="27" t="s">
        <v>152</v>
      </c>
      <c r="B15" s="27" t="s">
        <v>153</v>
      </c>
      <c r="C15" s="27" t="s">
        <v>154</v>
      </c>
      <c r="D15" s="28" t="s">
        <v>155</v>
      </c>
      <c r="E15" s="28" t="s">
        <v>156</v>
      </c>
      <c r="F15" s="27" t="s">
        <v>40</v>
      </c>
      <c r="G15" s="27"/>
      <c r="H15" s="27"/>
      <c r="I15" s="27" t="s">
        <v>40</v>
      </c>
      <c r="J15" s="27"/>
      <c r="K15" s="27"/>
      <c r="L15" s="27" t="s">
        <v>40</v>
      </c>
      <c r="M15" s="27"/>
      <c r="N15" s="27"/>
      <c r="O15" s="27"/>
      <c r="Q15" s="33"/>
    </row>
    <row r="16" ht="120.75" customHeight="1" outlineLevel="1" spans="1:17">
      <c r="A16" s="27" t="s">
        <v>157</v>
      </c>
      <c r="B16" s="27" t="s">
        <v>158</v>
      </c>
      <c r="C16" s="27" t="s">
        <v>159</v>
      </c>
      <c r="D16" s="28" t="s">
        <v>160</v>
      </c>
      <c r="E16" s="28" t="s">
        <v>161</v>
      </c>
      <c r="F16" s="27" t="s">
        <v>40</v>
      </c>
      <c r="G16" s="27"/>
      <c r="H16" s="27"/>
      <c r="I16" s="27" t="s">
        <v>40</v>
      </c>
      <c r="J16" s="27"/>
      <c r="K16" s="27"/>
      <c r="L16" s="27" t="s">
        <v>40</v>
      </c>
      <c r="M16" s="27"/>
      <c r="N16" s="27"/>
      <c r="O16" s="27"/>
      <c r="Q16" s="34"/>
    </row>
    <row r="17" ht="120.75" customHeight="1" outlineLevel="1" spans="1:15">
      <c r="A17" s="27" t="s">
        <v>162</v>
      </c>
      <c r="B17" s="27" t="s">
        <v>163</v>
      </c>
      <c r="C17" s="27" t="s">
        <v>164</v>
      </c>
      <c r="D17" s="28" t="s">
        <v>165</v>
      </c>
      <c r="E17" s="28" t="s">
        <v>166</v>
      </c>
      <c r="F17" s="27" t="s">
        <v>40</v>
      </c>
      <c r="G17" s="27"/>
      <c r="H17" s="27"/>
      <c r="I17" s="27" t="s">
        <v>40</v>
      </c>
      <c r="J17" s="27"/>
      <c r="K17" s="27"/>
      <c r="L17" s="27" t="s">
        <v>40</v>
      </c>
      <c r="M17" s="27"/>
      <c r="N17" s="27"/>
      <c r="O17" s="27"/>
    </row>
    <row r="18" ht="120.75" customHeight="1" spans="1:15">
      <c r="A18" s="27" t="s">
        <v>167</v>
      </c>
      <c r="B18" s="27" t="s">
        <v>168</v>
      </c>
      <c r="C18" s="27" t="s">
        <v>169</v>
      </c>
      <c r="D18" s="28" t="s">
        <v>170</v>
      </c>
      <c r="E18" s="28" t="s">
        <v>171</v>
      </c>
      <c r="F18" s="27" t="s">
        <v>40</v>
      </c>
      <c r="G18" s="27"/>
      <c r="H18" s="27"/>
      <c r="I18" s="27" t="s">
        <v>40</v>
      </c>
      <c r="J18" s="27"/>
      <c r="K18" s="27"/>
      <c r="L18" s="27" t="s">
        <v>40</v>
      </c>
      <c r="M18" s="27"/>
      <c r="N18" s="27"/>
      <c r="O18" s="27"/>
    </row>
    <row r="19" ht="120.75" customHeight="1" spans="1:15">
      <c r="A19" s="27" t="s">
        <v>172</v>
      </c>
      <c r="B19" s="27" t="s">
        <v>173</v>
      </c>
      <c r="C19" s="27" t="s">
        <v>174</v>
      </c>
      <c r="D19" s="28" t="s">
        <v>175</v>
      </c>
      <c r="E19" s="28" t="s">
        <v>176</v>
      </c>
      <c r="F19" s="27" t="s">
        <v>40</v>
      </c>
      <c r="G19" s="27"/>
      <c r="H19" s="27"/>
      <c r="I19" s="27" t="s">
        <v>40</v>
      </c>
      <c r="J19" s="27"/>
      <c r="K19" s="27"/>
      <c r="L19" s="27" t="s">
        <v>40</v>
      </c>
      <c r="M19" s="27"/>
      <c r="N19" s="27"/>
      <c r="O19" s="27"/>
    </row>
    <row r="20" ht="120.75" customHeight="1" spans="1:15">
      <c r="A20" s="27" t="s">
        <v>177</v>
      </c>
      <c r="B20" s="27" t="s">
        <v>178</v>
      </c>
      <c r="C20" s="27" t="s">
        <v>179</v>
      </c>
      <c r="D20" s="28" t="s">
        <v>180</v>
      </c>
      <c r="E20" s="28" t="s">
        <v>181</v>
      </c>
      <c r="F20" s="27" t="s">
        <v>40</v>
      </c>
      <c r="G20" s="27"/>
      <c r="H20" s="27"/>
      <c r="I20" s="27" t="s">
        <v>40</v>
      </c>
      <c r="J20" s="27"/>
      <c r="K20" s="27"/>
      <c r="L20" s="27" t="s">
        <v>40</v>
      </c>
      <c r="M20" s="27"/>
      <c r="N20" s="27"/>
      <c r="O20" s="27"/>
    </row>
  </sheetData>
  <mergeCells count="3">
    <mergeCell ref="B2:E2"/>
    <mergeCell ref="B3:E3"/>
    <mergeCell ref="B4:E4"/>
  </mergeCells>
  <dataValidations count="2">
    <dataValidation type="list" allowBlank="1" showErrorMessage="1" sqref="G9 J9 M9 F12:F17 G2:G3 G18:G145 I12:I17 J2:J3 J18:J145 L12:L17 M2:M3 M18:M145">
      <formula1>$R$2:$R$5</formula1>
    </dataValidation>
    <dataValidation allowBlank="1" showErrorMessage="1" sqref="F10 I10 L10"/>
  </dataValidations>
  <pageMargins left="0.7" right="0.7" top="0.75" bottom="0.75" header="0.511811023622047" footer="0.511811023622047"/>
  <pageSetup paperSize="9" orientation="portrait"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Cover</vt:lpstr>
      <vt:lpstr>Test Cases</vt:lpstr>
      <vt:lpstr>Test Statistics</vt:lpstr>
      <vt:lpstr>Feature 1</vt:lpstr>
      <vt:lpstr>Feature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dc:description>Updates sheet Cover: Add logo, document code, creator, reviewer/approver._x005f
Add sheet Test Case List._x005f
Change Sheet Company, User, Provider to Modules. Add column Inter-test case dependent. Update these sheets._x005f
Update Test Report</dc:description>
  <cp:lastModifiedBy>jso</cp:lastModifiedBy>
  <cp:revision>0</cp:revision>
  <dcterms:created xsi:type="dcterms:W3CDTF">2020-03-17T17:34:00Z</dcterms:created>
  <cp:lastPrinted>2010-11-12T10:33:00Z</cp:lastPrinted>
  <dcterms:modified xsi:type="dcterms:W3CDTF">2026-07-04T14:07:10Z</dcterms:modified>
  <cp:category>BM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B3446ADD10464160A9BA4E84D71FF106_12</vt:lpwstr>
  </property>
  <property fmtid="{D5CDD505-2E9C-101B-9397-08002B2CF9AE}" pid="3" name="KSOProductBuildVer">
    <vt:lpwstr>2057-12.2.0.23206</vt:lpwstr>
  </property>
</Properties>
</file>
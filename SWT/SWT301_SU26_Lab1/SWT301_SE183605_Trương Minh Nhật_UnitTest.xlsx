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n422/Desktop/3. FE/2026/SU26/"/>
    </mc:Choice>
  </mc:AlternateContent>
  <xr:revisionPtr revIDLastSave="213" documentId="13_ncr:1_{12403F8B-A4DD-4B4B-A87D-B69579FB4D83}" xr6:coauthVersionLast="47" xr6:coauthVersionMax="47" xr10:uidLastSave="{26487E85-7A9B-43B3-9919-49A3710291C0}"/>
  <bookViews>
    <workbookView xWindow="0" yWindow="600" windowWidth="28800" windowHeight="17400" firstSheet="4" activeTab="1" xr2:uid="{00000000-000D-0000-FFFF-FFFF00000000}"/>
  </bookViews>
  <sheets>
    <sheet name="Guideline" sheetId="1" r:id="rId1"/>
    <sheet name="Cover" sheetId="4" r:id="rId2"/>
    <sheet name="Functions" sheetId="5" r:id="rId3"/>
    <sheet name="Statistics" sheetId="6" r:id="rId4"/>
    <sheet name="Calculate Allocation" sheetId="10" r:id="rId5"/>
  </sheets>
  <definedNames>
    <definedName name="ACTION">#REF!</definedName>
    <definedName name="_xlnm.Print_Area" localSheetId="4">'Calculate Allocation'!$A$1:$T$49</definedName>
    <definedName name="_xlnm.Print_Area" localSheetId="2">Functions!$A$1:$H$39</definedName>
    <definedName name="_xlnm.Print_Area" localSheetId="0">Guideline!$A$1:$A$48</definedName>
    <definedName name="_xlnm.Print_Area" localSheetId="3">Statistics!$A$1:$I$41</definedName>
    <definedName name="Z_2C0D9096_8D85_462A_A9B5_0B488ADB4269_.wvu.Cols" localSheetId="4" hidden="1">'Calculate Allocation'!$E:$E</definedName>
    <definedName name="Z_2C0D9096_8D85_462A_A9B5_0B488ADB4269_.wvu.PrintArea" localSheetId="3" hidden="1">Statistics!$A:$I</definedName>
    <definedName name="Z_6F1DCD5D_5DAC_4817_BF40_2B66F6F593E6_.wvu.Cols" localSheetId="4" hidden="1">'Calculate Allocation'!$E:$E</definedName>
    <definedName name="Z_6F1DCD5D_5DAC_4817_BF40_2B66F6F593E6_.wvu.PrintArea" localSheetId="3" hidden="1">Statistics!$A:$I</definedName>
    <definedName name="Z_BE54E0AD_3725_4423_92D7_4F1C045BE1BC_.wvu.Cols" localSheetId="4" hidden="1">'Calculate Allocation'!$E:$E</definedName>
    <definedName name="Z_BE54E0AD_3725_4423_92D7_4F1C045BE1BC_.wvu.PrintArea" localSheetId="3" hidden="1">Statistics!$A:$I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6" l="1"/>
  <c r="G14" i="6"/>
  <c r="F14" i="6"/>
  <c r="N7" i="10"/>
  <c r="H12" i="6" s="1"/>
  <c r="M7" i="10"/>
  <c r="G12" i="6" s="1"/>
  <c r="L7" i="10"/>
  <c r="F12" i="6" s="1"/>
  <c r="E14" i="6"/>
  <c r="C7" i="10"/>
  <c r="D12" i="6" s="1"/>
  <c r="A7" i="10"/>
  <c r="C12" i="6" s="1"/>
  <c r="I14" i="6"/>
  <c r="D14" i="6"/>
  <c r="H13" i="6"/>
  <c r="O7" i="10"/>
  <c r="L4" i="10" s="1"/>
  <c r="G13" i="6"/>
  <c r="F13" i="6"/>
  <c r="D13" i="6"/>
  <c r="B4" i="6"/>
  <c r="B5" i="6"/>
  <c r="B6" i="6"/>
  <c r="C14" i="6"/>
  <c r="C13" i="6"/>
  <c r="I12" i="6" l="1"/>
  <c r="C17" i="6"/>
  <c r="D17" i="6"/>
  <c r="H17" i="6"/>
  <c r="G17" i="6"/>
  <c r="F17" i="6"/>
  <c r="F7" i="10"/>
  <c r="I13" i="6"/>
  <c r="I17" i="6" s="1"/>
  <c r="E13" i="6" l="1"/>
  <c r="E12" i="6"/>
  <c r="E17" i="6"/>
  <c r="D22" i="6"/>
  <c r="D19" i="6"/>
  <c r="D20" i="6"/>
  <c r="D23" i="6"/>
  <c r="D2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00000000-0006-0000-0500-000002000000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sharedStrings.xml><?xml version="1.0" encoding="utf-8"?>
<sst xmlns="http://schemas.openxmlformats.org/spreadsheetml/2006/main" count="249" uniqueCount="169">
  <si>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</si>
  <si>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</si>
  <si>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</si>
  <si>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t xml:space="preserve"> - </t>
    </r>
    <r>
      <rPr>
        <b/>
        <sz val="10"/>
        <rFont val="Tahoma"/>
        <family val="2"/>
      </rPr>
      <t>Cover</t>
    </r>
    <r>
      <rPr>
        <sz val="10"/>
        <rFont val="Tahoma"/>
        <family val="2"/>
      </rPr>
      <t>: General information of the project and Unit Test cases</t>
    </r>
  </si>
  <si>
    <r>
      <t xml:space="preserve"> - </t>
    </r>
    <r>
      <rPr>
        <b/>
        <sz val="10"/>
        <rFont val="Tahoma"/>
        <family val="2"/>
      </rPr>
      <t>FunctionList</t>
    </r>
    <r>
      <rPr>
        <sz val="10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</si>
  <si>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t xml:space="preserve">     + Click on Function link to open the related Test cases of the function.  
     </t>
    </r>
    <r>
      <rPr>
        <i/>
        <sz val="10"/>
        <rFont val="Tahoma"/>
        <family val="2"/>
      </rPr>
      <t>Note:</t>
    </r>
    <r>
      <rPr>
        <sz val="10"/>
        <rFont val="Tahoma"/>
        <family val="2"/>
      </rPr>
      <t xml:space="preserve"> You should create new Function sheet before creating the link</t>
    </r>
  </si>
  <si>
    <r>
      <t xml:space="preserve"> - </t>
    </r>
    <r>
      <rPr>
        <b/>
        <sz val="10"/>
        <rFont val="Tahoma"/>
        <family val="2"/>
      </rPr>
      <t>Test Report</t>
    </r>
    <r>
      <rPr>
        <sz val="10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</si>
  <si>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</si>
  <si>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</si>
  <si>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</si>
  <si>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</si>
  <si>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</si>
  <si>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</si>
  <si>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</si>
  <si>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</si>
  <si>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</si>
  <si>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</si>
  <si>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</si>
  <si>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</si>
  <si>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</si>
  <si>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</si>
  <si>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</si>
  <si>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</si>
  <si>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</si>
  <si>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</si>
  <si>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</si>
  <si>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</si>
  <si>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</si>
  <si>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</si>
  <si>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</si>
  <si>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</si>
  <si>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</si>
  <si>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</si>
  <si>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</si>
  <si>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</si>
  <si>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</si>
  <si>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t xml:space="preserve">        - Test case result: the actual output results comparing with the Confirmation.
                 </t>
    </r>
    <r>
      <rPr>
        <b/>
        <sz val="10"/>
        <rFont val="Tahoma"/>
        <family val="2"/>
      </rPr>
      <t>P</t>
    </r>
    <r>
      <rPr>
        <sz val="10"/>
        <rFont val="Tahoma"/>
        <family val="2"/>
      </rPr>
      <t xml:space="preserve"> for Passed and </t>
    </r>
    <r>
      <rPr>
        <b/>
        <sz val="10"/>
        <rFont val="Tahoma"/>
        <family val="2"/>
      </rPr>
      <t>F</t>
    </r>
    <r>
      <rPr>
        <sz val="10"/>
        <rFont val="Tahoma"/>
        <family val="2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</si>
  <si>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</si>
  <si>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</si>
  <si>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</si>
  <si>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</si>
  <si>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</si>
  <si>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</si>
  <si>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</si>
  <si>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</si>
  <si>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</si>
  <si>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</si>
  <si>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Bandwidth Calculator</t>
  </si>
  <si>
    <t>Creator</t>
  </si>
  <si>
    <t>Truong Minh Nhat</t>
  </si>
  <si>
    <t>Project Code</t>
  </si>
  <si>
    <t>SWT301_Lab1</t>
  </si>
  <si>
    <t>Issue Date</t>
  </si>
  <si>
    <t>Document Code</t>
  </si>
  <si>
    <t>SWT301_Lab1_SE183605_Trương Minh Nhật_V1.0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</si>
  <si>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</si>
  <si>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</si>
  <si>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</si>
  <si>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</si>
  <si>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</si>
  <si>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</si>
  <si>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</si>
  <si>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</si>
  <si>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</si>
  <si>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</si>
  <si>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Function List</t>
  </si>
  <si>
    <t xml:space="preserve">Normal number of Test cases/KLOC </t>
  </si>
  <si>
    <t>Test Environment Setup Description</t>
  </si>
  <si>
    <t>&lt;List enviroment requires in this system
1. Server
2. Database
3. Web Browser
...
&gt;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</si>
  <si>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</si>
  <si>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</si>
  <si>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</si>
  <si>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</si>
  <si>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</si>
  <si>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</si>
  <si>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</si>
  <si>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</si>
  <si>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Bandwidth Calculation</t>
  </si>
  <si>
    <t>N/A (Module)</t>
  </si>
  <si>
    <t>calculateAllocation</t>
  </si>
  <si>
    <t>calculate-allocation.ts</t>
  </si>
  <si>
    <t>Calculate Allocation</t>
  </si>
  <si>
    <t>Calculates the bandwidth allocation and resolution based on participant count and meeting tier.</t>
  </si>
  <si>
    <t>participants must be a positive integer &gt; 0.</t>
  </si>
  <si>
    <t>UNIT TEST REPORT</t>
  </si>
  <si>
    <t>Reviewer/Approver</t>
  </si>
  <si>
    <t>&lt;Date when this test report is created&gt;</t>
  </si>
  <si>
    <t>Notes</t>
  </si>
  <si>
    <t>&lt;List modules included in this release&gt; ex: Release 1 includes 2 modules: Module1 and Module2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</si>
  <si>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</si>
  <si>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</si>
  <si>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</si>
  <si>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</si>
  <si>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</si>
  <si>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</si>
  <si>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</si>
  <si>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</si>
  <si>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Function1</t>
  </si>
  <si>
    <t>Function2</t>
  </si>
  <si>
    <t>Function3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</si>
  <si>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</si>
  <si>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</si>
  <si>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</si>
  <si>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</si>
  <si>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</si>
  <si>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</si>
  <si>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</si>
  <si>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</si>
  <si>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</si>
  <si>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</si>
  <si>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</si>
  <si>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</si>
  <si>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</si>
  <si>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</si>
  <si>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</si>
  <si>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</si>
  <si>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</si>
  <si>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</si>
  <si>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</si>
  <si>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</si>
  <si>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</si>
  <si>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</si>
  <si>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</si>
  <si>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</si>
  <si>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</si>
  <si>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</si>
  <si>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</si>
  <si>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</si>
  <si>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</si>
  <si>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</si>
  <si>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Condition</t>
  </si>
  <si>
    <t xml:space="preserve">Precondition </t>
    <phoneticPr fontId="34" type="noConversion"/>
  </si>
  <si>
    <t>App is running</t>
  </si>
  <si>
    <t>Input1</t>
    <phoneticPr fontId="34" type="noConversion"/>
  </si>
  <si>
    <t>O</t>
  </si>
  <si>
    <t>null</t>
  </si>
  <si>
    <t>Input2</t>
    <phoneticPr fontId="34" type="noConversion"/>
  </si>
  <si>
    <t>standard</t>
  </si>
  <si>
    <t>gov</t>
  </si>
  <si>
    <t>Confirm</t>
  </si>
  <si>
    <t>Return</t>
    <phoneticPr fontId="34" type="noConversion"/>
  </si>
  <si>
    <t>1080p</t>
  </si>
  <si>
    <t>720p</t>
  </si>
  <si>
    <t>480p</t>
  </si>
  <si>
    <t>AUDIO_ONLY</t>
  </si>
  <si>
    <t>Exception</t>
    <phoneticPr fontId="34" type="noConversion"/>
  </si>
  <si>
    <t>Participants must be a positive integer.</t>
  </si>
  <si>
    <t>Government nodes support a maximum of 100 users.</t>
  </si>
  <si>
    <t>Standard tier supports a maximum of 100 users.</t>
  </si>
  <si>
    <t>Log message</t>
    <phoneticPr fontId="34" type="noConversion"/>
  </si>
  <si>
    <t>"success"</t>
  </si>
  <si>
    <t>"input1 is null"</t>
  </si>
  <si>
    <t>Result</t>
  </si>
  <si>
    <t>Type(N : Normal, A : Abnormal, B : Boundary)</t>
  </si>
  <si>
    <t>Passed/Failed</t>
  </si>
  <si>
    <t>F</t>
  </si>
  <si>
    <t>P</t>
  </si>
  <si>
    <t>Executed Date</t>
  </si>
  <si>
    <t>Defect ID</t>
  </si>
  <si>
    <t>DFID002</t>
  </si>
  <si>
    <t>DFID004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</si>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</sst>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5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sz val="10"/>
      <color indexed="9"/>
      <name val="Tahoma"/>
      <family val="2"/>
    </font>
    <font>
      <sz val="10"/>
      <color indexed="8"/>
      <name val="Tahoma"/>
      <family val="2"/>
    </font>
    <font>
      <sz val="8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sz val="8"/>
      <color indexed="17"/>
      <name val="Tahoma"/>
      <family val="2"/>
    </font>
    <font>
      <i/>
      <sz val="8"/>
      <name val="Tahoma"/>
      <family val="2"/>
    </font>
    <font>
      <b/>
      <sz val="12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i/>
      <sz val="10"/>
      <name val="Tahoma"/>
      <family val="2"/>
    </font>
    <font>
      <u/>
      <sz val="11"/>
      <color indexed="12"/>
      <name val="Tahoma"/>
      <family val="2"/>
    </font>
    <font>
      <b/>
      <sz val="18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0.5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11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  <font>
      <sz val="10"/>
      <color rgb="FF000000"/>
      <name val="Tahoma"/>
    </font>
    <font>
      <u/>
      <sz val="10"/>
      <color theme="10"/>
      <name val="Tahoma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</fills>
  <borders count="8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</cellStyleXfs>
  <cellXfs count="259">
    <xf numFmtId="0" fontId="0" fillId="0" borderId="0" xfId="0">
      <alignment vertical="center"/>
    </xf>
    <xf numFmtId="0" fontId="22" fillId="0" borderId="10" xfId="41" applyFont="1" applyBorder="1" applyAlignment="1">
      <alignment horizontal="center" vertical="center"/>
    </xf>
    <xf numFmtId="0" fontId="24" fillId="0" borderId="0" xfId="41" applyFont="1" applyAlignment="1">
      <alignment horizontal="center" vertical="center"/>
    </xf>
    <xf numFmtId="0" fontId="24" fillId="0" borderId="0" xfId="41" applyFont="1"/>
    <xf numFmtId="0" fontId="25" fillId="24" borderId="0" xfId="41" applyFont="1" applyFill="1" applyAlignment="1">
      <alignment horizontal="left" indent="1"/>
    </xf>
    <xf numFmtId="0" fontId="26" fillId="0" borderId="0" xfId="41" applyFont="1" applyAlignment="1">
      <alignment horizontal="left" indent="1"/>
    </xf>
    <xf numFmtId="0" fontId="24" fillId="24" borderId="0" xfId="41" applyFont="1" applyFill="1"/>
    <xf numFmtId="0" fontId="24" fillId="0" borderId="11" xfId="41" applyFont="1" applyBorder="1"/>
    <xf numFmtId="0" fontId="26" fillId="0" borderId="0" xfId="41" applyFont="1" applyAlignment="1">
      <alignment horizontal="left"/>
    </xf>
    <xf numFmtId="0" fontId="25" fillId="0" borderId="0" xfId="41" applyFont="1" applyAlignment="1">
      <alignment horizontal="left" indent="1"/>
    </xf>
    <xf numFmtId="0" fontId="24" fillId="0" borderId="0" xfId="41" applyFont="1" applyAlignment="1">
      <alignment vertical="center"/>
    </xf>
    <xf numFmtId="164" fontId="27" fillId="25" borderId="12" xfId="41" applyNumberFormat="1" applyFont="1" applyFill="1" applyBorder="1" applyAlignment="1">
      <alignment horizontal="center" vertical="center"/>
    </xf>
    <xf numFmtId="0" fontId="27" fillId="25" borderId="13" xfId="41" applyFont="1" applyFill="1" applyBorder="1" applyAlignment="1">
      <alignment horizontal="center" vertical="center"/>
    </xf>
    <xf numFmtId="0" fontId="27" fillId="25" borderId="14" xfId="41" applyFont="1" applyFill="1" applyBorder="1" applyAlignment="1">
      <alignment horizontal="center" vertical="center"/>
    </xf>
    <xf numFmtId="0" fontId="24" fillId="0" borderId="0" xfId="41" applyFont="1" applyAlignment="1">
      <alignment vertical="top"/>
    </xf>
    <xf numFmtId="49" fontId="24" fillId="0" borderId="15" xfId="41" applyNumberFormat="1" applyFont="1" applyBorder="1" applyAlignment="1">
      <alignment vertical="top"/>
    </xf>
    <xf numFmtId="0" fontId="24" fillId="0" borderId="15" xfId="41" applyFont="1" applyBorder="1" applyAlignment="1">
      <alignment vertical="top"/>
    </xf>
    <xf numFmtId="15" fontId="24" fillId="0" borderId="15" xfId="41" applyNumberFormat="1" applyFont="1" applyBorder="1" applyAlignment="1">
      <alignment vertical="top"/>
    </xf>
    <xf numFmtId="164" fontId="24" fillId="0" borderId="16" xfId="41" applyNumberFormat="1" applyFont="1" applyBorder="1" applyAlignment="1">
      <alignment vertical="top"/>
    </xf>
    <xf numFmtId="0" fontId="24" fillId="0" borderId="17" xfId="41" applyFont="1" applyBorder="1" applyAlignment="1">
      <alignment vertical="top"/>
    </xf>
    <xf numFmtId="164" fontId="24" fillId="0" borderId="18" xfId="41" applyNumberFormat="1" applyFont="1" applyBorder="1" applyAlignment="1">
      <alignment vertical="top"/>
    </xf>
    <xf numFmtId="49" fontId="24" fillId="0" borderId="19" xfId="41" applyNumberFormat="1" applyFont="1" applyBorder="1" applyAlignment="1">
      <alignment vertical="top"/>
    </xf>
    <xf numFmtId="0" fontId="24" fillId="0" borderId="19" xfId="41" applyFont="1" applyBorder="1" applyAlignment="1">
      <alignment vertical="top"/>
    </xf>
    <xf numFmtId="0" fontId="24" fillId="0" borderId="20" xfId="41" applyFont="1" applyBorder="1" applyAlignment="1">
      <alignment vertical="top"/>
    </xf>
    <xf numFmtId="0" fontId="24" fillId="0" borderId="0" xfId="41" applyFont="1" applyAlignment="1">
      <alignment horizontal="left" indent="1"/>
    </xf>
    <xf numFmtId="1" fontId="24" fillId="24" borderId="0" xfId="41" applyNumberFormat="1" applyFont="1" applyFill="1" applyProtection="1">
      <protection hidden="1"/>
    </xf>
    <xf numFmtId="0" fontId="24" fillId="24" borderId="0" xfId="41" applyFont="1" applyFill="1" applyAlignment="1">
      <alignment horizontal="left"/>
    </xf>
    <xf numFmtId="0" fontId="24" fillId="24" borderId="0" xfId="41" applyFont="1" applyFill="1" applyAlignment="1">
      <alignment horizontal="left" wrapText="1"/>
    </xf>
    <xf numFmtId="0" fontId="23" fillId="24" borderId="0" xfId="41" applyFont="1" applyFill="1" applyAlignment="1">
      <alignment horizontal="left"/>
    </xf>
    <xf numFmtId="0" fontId="28" fillId="24" borderId="0" xfId="41" applyFont="1" applyFill="1" applyAlignment="1">
      <alignment horizontal="left"/>
    </xf>
    <xf numFmtId="0" fontId="29" fillId="24" borderId="0" xfId="41" applyFont="1" applyFill="1" applyAlignment="1">
      <alignment horizontal="left"/>
    </xf>
    <xf numFmtId="0" fontId="24" fillId="24" borderId="0" xfId="41" applyFont="1" applyFill="1" applyAlignment="1">
      <alignment wrapText="1"/>
    </xf>
    <xf numFmtId="1" fontId="25" fillId="24" borderId="0" xfId="41" applyNumberFormat="1" applyFont="1" applyFill="1"/>
    <xf numFmtId="1" fontId="24" fillId="24" borderId="0" xfId="41" applyNumberFormat="1" applyFont="1" applyFill="1" applyAlignment="1" applyProtection="1">
      <alignment vertical="center"/>
      <protection hidden="1"/>
    </xf>
    <xf numFmtId="0" fontId="24" fillId="24" borderId="0" xfId="41" applyFont="1" applyFill="1" applyAlignment="1">
      <alignment horizontal="left" vertical="center"/>
    </xf>
    <xf numFmtId="0" fontId="24" fillId="24" borderId="0" xfId="41" applyFont="1" applyFill="1" applyAlignment="1">
      <alignment horizontal="left" vertical="center" wrapText="1"/>
    </xf>
    <xf numFmtId="0" fontId="24" fillId="24" borderId="0" xfId="41" applyFont="1" applyFill="1" applyAlignment="1">
      <alignment vertical="center"/>
    </xf>
    <xf numFmtId="1" fontId="27" fillId="26" borderId="12" xfId="41" applyNumberFormat="1" applyFont="1" applyFill="1" applyBorder="1" applyAlignment="1">
      <alignment horizontal="center" vertical="center"/>
    </xf>
    <xf numFmtId="1" fontId="27" fillId="26" borderId="21" xfId="41" applyNumberFormat="1" applyFont="1" applyFill="1" applyBorder="1" applyAlignment="1">
      <alignment horizontal="center" vertical="center" wrapText="1"/>
    </xf>
    <xf numFmtId="1" fontId="27" fillId="26" borderId="21" xfId="41" applyNumberFormat="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 wrapText="1"/>
    </xf>
    <xf numFmtId="0" fontId="27" fillId="26" borderId="22" xfId="41" applyFont="1" applyFill="1" applyBorder="1" applyAlignment="1">
      <alignment horizontal="center" vertical="center"/>
    </xf>
    <xf numFmtId="0" fontId="27" fillId="26" borderId="14" xfId="41" applyFont="1" applyFill="1" applyBorder="1" applyAlignment="1">
      <alignment horizontal="center" vertical="center"/>
    </xf>
    <xf numFmtId="0" fontId="30" fillId="24" borderId="0" xfId="41" applyFont="1" applyFill="1" applyAlignment="1">
      <alignment horizontal="center"/>
    </xf>
    <xf numFmtId="1" fontId="24" fillId="24" borderId="23" xfId="41" applyNumberFormat="1" applyFont="1" applyFill="1" applyBorder="1" applyAlignment="1">
      <alignment vertical="center"/>
    </xf>
    <xf numFmtId="49" fontId="24" fillId="24" borderId="15" xfId="41" applyNumberFormat="1" applyFont="1" applyFill="1" applyBorder="1" applyAlignment="1">
      <alignment horizontal="left" vertical="center"/>
    </xf>
    <xf numFmtId="49" fontId="24" fillId="24" borderId="15" xfId="41" applyNumberFormat="1" applyFont="1" applyFill="1" applyBorder="1" applyAlignment="1">
      <alignment horizontal="left" vertical="center" wrapText="1"/>
    </xf>
    <xf numFmtId="0" fontId="31" fillId="24" borderId="15" xfId="34" applyNumberFormat="1" applyFont="1" applyFill="1" applyBorder="1" applyAlignment="1" applyProtection="1">
      <alignment horizontal="left" vertical="center"/>
    </xf>
    <xf numFmtId="0" fontId="24" fillId="24" borderId="17" xfId="41" applyFont="1" applyFill="1" applyBorder="1" applyAlignment="1">
      <alignment horizontal="left" vertical="center"/>
    </xf>
    <xf numFmtId="0" fontId="24" fillId="24" borderId="15" xfId="41" applyFont="1" applyFill="1" applyBorder="1" applyAlignment="1">
      <alignment horizontal="left" vertical="center"/>
    </xf>
    <xf numFmtId="1" fontId="24" fillId="24" borderId="24" xfId="41" applyNumberFormat="1" applyFont="1" applyFill="1" applyBorder="1" applyAlignment="1">
      <alignment vertical="center"/>
    </xf>
    <xf numFmtId="49" fontId="24" fillId="24" borderId="19" xfId="41" applyNumberFormat="1" applyFont="1" applyFill="1" applyBorder="1" applyAlignment="1">
      <alignment horizontal="left" vertical="center"/>
    </xf>
    <xf numFmtId="49" fontId="24" fillId="24" borderId="19" xfId="41" applyNumberFormat="1" applyFont="1" applyFill="1" applyBorder="1" applyAlignment="1">
      <alignment horizontal="left" vertical="center" wrapText="1"/>
    </xf>
    <xf numFmtId="0" fontId="24" fillId="24" borderId="19" xfId="41" applyFont="1" applyFill="1" applyBorder="1" applyAlignment="1">
      <alignment horizontal="left" vertical="center"/>
    </xf>
    <xf numFmtId="0" fontId="24" fillId="24" borderId="20" xfId="41" applyFont="1" applyFill="1" applyBorder="1" applyAlignment="1">
      <alignment horizontal="left" vertical="center"/>
    </xf>
    <xf numFmtId="1" fontId="24" fillId="24" borderId="0" xfId="41" applyNumberFormat="1" applyFont="1" applyFill="1"/>
    <xf numFmtId="0" fontId="30" fillId="24" borderId="0" xfId="38" applyFont="1" applyFill="1"/>
    <xf numFmtId="0" fontId="24" fillId="24" borderId="0" xfId="38" applyFont="1" applyFill="1"/>
    <xf numFmtId="164" fontId="24" fillId="24" borderId="0" xfId="38" applyNumberFormat="1" applyFont="1" applyFill="1"/>
    <xf numFmtId="0" fontId="25" fillId="24" borderId="0" xfId="41" applyFont="1" applyFill="1"/>
    <xf numFmtId="0" fontId="26" fillId="24" borderId="0" xfId="38" applyFont="1" applyFill="1"/>
    <xf numFmtId="0" fontId="27" fillId="25" borderId="21" xfId="41" applyFont="1" applyFill="1" applyBorder="1" applyAlignment="1">
      <alignment horizontal="center"/>
    </xf>
    <xf numFmtId="0" fontId="27" fillId="25" borderId="13" xfId="41" applyFont="1" applyFill="1" applyBorder="1" applyAlignment="1">
      <alignment horizontal="center"/>
    </xf>
    <xf numFmtId="0" fontId="27" fillId="25" borderId="13" xfId="41" applyFont="1" applyFill="1" applyBorder="1" applyAlignment="1">
      <alignment horizontal="center" wrapText="1"/>
    </xf>
    <xf numFmtId="0" fontId="27" fillId="25" borderId="22" xfId="41" applyFont="1" applyFill="1" applyBorder="1" applyAlignment="1">
      <alignment horizontal="center"/>
    </xf>
    <xf numFmtId="0" fontId="27" fillId="25" borderId="25" xfId="41" applyFont="1" applyFill="1" applyBorder="1" applyAlignment="1">
      <alignment horizontal="center" wrapText="1"/>
    </xf>
    <xf numFmtId="0" fontId="24" fillId="24" borderId="23" xfId="41" applyFont="1" applyFill="1" applyBorder="1" applyAlignment="1">
      <alignment horizontal="center"/>
    </xf>
    <xf numFmtId="0" fontId="24" fillId="24" borderId="15" xfId="41" applyFont="1" applyFill="1" applyBorder="1" applyAlignment="1">
      <alignment horizontal="center"/>
    </xf>
    <xf numFmtId="0" fontId="24" fillId="24" borderId="26" xfId="41" applyFont="1" applyFill="1" applyBorder="1" applyAlignment="1">
      <alignment horizontal="center"/>
    </xf>
    <xf numFmtId="0" fontId="32" fillId="25" borderId="24" xfId="41" applyFont="1" applyFill="1" applyBorder="1" applyAlignment="1">
      <alignment horizontal="center"/>
    </xf>
    <xf numFmtId="0" fontId="32" fillId="25" borderId="19" xfId="41" applyFont="1" applyFill="1" applyBorder="1" applyAlignment="1">
      <alignment horizontal="center"/>
    </xf>
    <xf numFmtId="0" fontId="24" fillId="24" borderId="0" xfId="41" applyFont="1" applyFill="1" applyAlignment="1">
      <alignment horizontal="center"/>
    </xf>
    <xf numFmtId="10" fontId="24" fillId="24" borderId="0" xfId="41" applyNumberFormat="1" applyFont="1" applyFill="1" applyAlignment="1">
      <alignment horizontal="center"/>
    </xf>
    <xf numFmtId="9" fontId="24" fillId="24" borderId="0" xfId="41" applyNumberFormat="1" applyFont="1" applyFill="1" applyAlignment="1">
      <alignment horizontal="center"/>
    </xf>
    <xf numFmtId="0" fontId="33" fillId="24" borderId="0" xfId="41" applyFont="1" applyFill="1" applyAlignment="1">
      <alignment horizontal="center" wrapText="1"/>
    </xf>
    <xf numFmtId="0" fontId="35" fillId="0" borderId="0" xfId="41" applyFont="1"/>
    <xf numFmtId="0" fontId="35" fillId="0" borderId="0" xfId="41" applyFont="1" applyAlignment="1">
      <alignment horizontal="right"/>
    </xf>
    <xf numFmtId="49" fontId="35" fillId="0" borderId="0" xfId="41" applyNumberFormat="1" applyFont="1"/>
    <xf numFmtId="0" fontId="35" fillId="0" borderId="27" xfId="41" applyFont="1" applyBorder="1"/>
    <xf numFmtId="0" fontId="36" fillId="0" borderId="0" xfId="41" applyFont="1" applyAlignment="1">
      <alignment horizontal="left"/>
    </xf>
    <xf numFmtId="0" fontId="36" fillId="0" borderId="0" xfId="41" applyFont="1"/>
    <xf numFmtId="0" fontId="36" fillId="27" borderId="28" xfId="41" applyFont="1" applyFill="1" applyBorder="1" applyAlignment="1">
      <alignment horizontal="left" vertical="top"/>
    </xf>
    <xf numFmtId="0" fontId="35" fillId="27" borderId="29" xfId="41" applyFont="1" applyFill="1" applyBorder="1" applyAlignment="1">
      <alignment horizontal="center" vertical="top"/>
    </xf>
    <xf numFmtId="0" fontId="35" fillId="27" borderId="30" xfId="41" applyFont="1" applyFill="1" applyBorder="1" applyAlignment="1">
      <alignment horizontal="right" vertical="top"/>
    </xf>
    <xf numFmtId="0" fontId="38" fillId="28" borderId="31" xfId="41" applyFont="1" applyFill="1" applyBorder="1" applyAlignment="1">
      <alignment horizontal="right"/>
    </xf>
    <xf numFmtId="0" fontId="39" fillId="0" borderId="32" xfId="41" applyFont="1" applyBorder="1" applyAlignment="1">
      <alignment horizontal="center"/>
    </xf>
    <xf numFmtId="0" fontId="38" fillId="28" borderId="0" xfId="41" applyFont="1" applyFill="1" applyAlignment="1">
      <alignment horizontal="right"/>
    </xf>
    <xf numFmtId="0" fontId="35" fillId="0" borderId="0" xfId="41" applyFont="1" applyAlignment="1">
      <alignment vertical="top"/>
    </xf>
    <xf numFmtId="0" fontId="35" fillId="28" borderId="0" xfId="41" applyFont="1" applyFill="1" applyAlignment="1">
      <alignment horizontal="right"/>
    </xf>
    <xf numFmtId="0" fontId="40" fillId="0" borderId="0" xfId="41" applyFont="1" applyAlignment="1">
      <alignment horizontal="center"/>
    </xf>
    <xf numFmtId="0" fontId="36" fillId="27" borderId="34" xfId="41" applyFont="1" applyFill="1" applyBorder="1"/>
    <xf numFmtId="0" fontId="36" fillId="27" borderId="35" xfId="41" applyFont="1" applyFill="1" applyBorder="1"/>
    <xf numFmtId="0" fontId="35" fillId="28" borderId="37" xfId="41" applyFont="1" applyFill="1" applyBorder="1" applyAlignment="1">
      <alignment horizontal="left"/>
    </xf>
    <xf numFmtId="0" fontId="39" fillId="0" borderId="37" xfId="41" applyFont="1" applyBorder="1" applyAlignment="1">
      <alignment horizontal="center"/>
    </xf>
    <xf numFmtId="0" fontId="36" fillId="27" borderId="28" xfId="41" applyFont="1" applyFill="1" applyBorder="1"/>
    <xf numFmtId="0" fontId="35" fillId="27" borderId="30" xfId="41" applyFont="1" applyFill="1" applyBorder="1" applyAlignment="1">
      <alignment horizontal="right"/>
    </xf>
    <xf numFmtId="0" fontId="35" fillId="28" borderId="32" xfId="41" applyFont="1" applyFill="1" applyBorder="1" applyAlignment="1">
      <alignment horizontal="left"/>
    </xf>
    <xf numFmtId="0" fontId="2" fillId="27" borderId="29" xfId="41" applyFill="1" applyBorder="1"/>
    <xf numFmtId="0" fontId="35" fillId="28" borderId="32" xfId="41" applyFont="1" applyFill="1" applyBorder="1"/>
    <xf numFmtId="0" fontId="41" fillId="0" borderId="32" xfId="41" applyFont="1" applyBorder="1" applyAlignment="1">
      <alignment horizontal="center"/>
    </xf>
    <xf numFmtId="0" fontId="37" fillId="0" borderId="32" xfId="41" applyFont="1" applyBorder="1" applyAlignment="1">
      <alignment horizontal="left"/>
    </xf>
    <xf numFmtId="0" fontId="35" fillId="0" borderId="32" xfId="41" applyFont="1" applyBorder="1"/>
    <xf numFmtId="165" fontId="35" fillId="0" borderId="32" xfId="41" applyNumberFormat="1" applyFont="1" applyBorder="1" applyAlignment="1">
      <alignment vertical="top" textRotation="255"/>
    </xf>
    <xf numFmtId="0" fontId="45" fillId="0" borderId="11" xfId="41" applyFont="1" applyBorder="1" applyAlignment="1">
      <alignment horizontal="left" indent="1"/>
    </xf>
    <xf numFmtId="0" fontId="45" fillId="0" borderId="16" xfId="41" applyFont="1" applyBorder="1" applyAlignment="1">
      <alignment vertical="top" wrapText="1"/>
    </xf>
    <xf numFmtId="0" fontId="45" fillId="0" borderId="17" xfId="41" applyFont="1" applyBorder="1" applyAlignment="1">
      <alignment vertical="top" wrapText="1"/>
    </xf>
    <xf numFmtId="1" fontId="24" fillId="24" borderId="16" xfId="41" applyNumberFormat="1" applyFont="1" applyFill="1" applyBorder="1" applyAlignment="1">
      <alignment horizontal="center" vertical="center"/>
    </xf>
    <xf numFmtId="1" fontId="24" fillId="24" borderId="18" xfId="41" applyNumberFormat="1" applyFont="1" applyFill="1" applyBorder="1" applyAlignment="1">
      <alignment horizontal="center" vertical="center"/>
    </xf>
    <xf numFmtId="0" fontId="47" fillId="29" borderId="0" xfId="0" applyFont="1" applyFill="1" applyAlignment="1">
      <alignment horizontal="center"/>
    </xf>
    <xf numFmtId="0" fontId="48" fillId="29" borderId="0" xfId="0" applyFont="1" applyFill="1">
      <alignment vertical="center"/>
    </xf>
    <xf numFmtId="0" fontId="49" fillId="29" borderId="0" xfId="0" applyFont="1" applyFill="1">
      <alignment vertical="center"/>
    </xf>
    <xf numFmtId="0" fontId="50" fillId="29" borderId="0" xfId="0" applyFont="1" applyFill="1" applyAlignment="1">
      <alignment horizontal="justify"/>
    </xf>
    <xf numFmtId="0" fontId="51" fillId="29" borderId="0" xfId="0" applyFont="1" applyFill="1">
      <alignment vertical="center"/>
    </xf>
    <xf numFmtId="0" fontId="52" fillId="29" borderId="0" xfId="0" applyFont="1" applyFill="1" applyAlignment="1">
      <alignment horizontal="justify"/>
    </xf>
    <xf numFmtId="0" fontId="52" fillId="29" borderId="0" xfId="0" applyFont="1" applyFill="1">
      <alignment vertical="center"/>
    </xf>
    <xf numFmtId="0" fontId="50" fillId="29" borderId="0" xfId="0" quotePrefix="1" applyFont="1" applyFill="1" applyAlignment="1">
      <alignment horizontal="justify"/>
    </xf>
    <xf numFmtId="0" fontId="24" fillId="29" borderId="0" xfId="0" applyFont="1" applyFill="1" applyAlignment="1">
      <alignment horizontal="justify"/>
    </xf>
    <xf numFmtId="0" fontId="24" fillId="29" borderId="0" xfId="0" applyFont="1" applyFill="1" applyAlignment="1">
      <alignment horizontal="justify" wrapText="1"/>
    </xf>
    <xf numFmtId="0" fontId="24" fillId="29" borderId="0" xfId="0" applyFont="1" applyFill="1" applyAlignment="1">
      <alignment horizontal="left" wrapText="1"/>
    </xf>
    <xf numFmtId="0" fontId="30" fillId="29" borderId="0" xfId="0" applyFont="1" applyFill="1" applyAlignment="1">
      <alignment horizontal="justify"/>
    </xf>
    <xf numFmtId="0" fontId="45" fillId="29" borderId="0" xfId="0" applyFont="1" applyFill="1" applyAlignment="1">
      <alignment horizontal="justify"/>
    </xf>
    <xf numFmtId="0" fontId="53" fillId="29" borderId="0" xfId="0" applyFont="1" applyFill="1">
      <alignment vertical="center"/>
    </xf>
    <xf numFmtId="0" fontId="30" fillId="0" borderId="0" xfId="41" applyFont="1"/>
    <xf numFmtId="0" fontId="30" fillId="0" borderId="0" xfId="41" applyFont="1" applyAlignment="1">
      <alignment horizontal="left"/>
    </xf>
    <xf numFmtId="49" fontId="46" fillId="24" borderId="15" xfId="34" applyNumberFormat="1" applyFont="1" applyFill="1" applyBorder="1"/>
    <xf numFmtId="0" fontId="54" fillId="30" borderId="0" xfId="0" applyFont="1" applyFill="1">
      <alignment vertical="center"/>
    </xf>
    <xf numFmtId="49" fontId="31" fillId="24" borderId="15" xfId="34" applyNumberFormat="1" applyFont="1" applyFill="1" applyBorder="1"/>
    <xf numFmtId="0" fontId="35" fillId="0" borderId="0" xfId="41" applyFont="1" applyAlignment="1">
      <alignment horizontal="center"/>
    </xf>
    <xf numFmtId="0" fontId="35" fillId="0" borderId="41" xfId="41" applyFont="1" applyBorder="1"/>
    <xf numFmtId="0" fontId="30" fillId="24" borderId="38" xfId="41" applyFont="1" applyFill="1" applyBorder="1" applyAlignment="1">
      <alignment horizontal="left" vertical="center"/>
    </xf>
    <xf numFmtId="0" fontId="30" fillId="24" borderId="38" xfId="41" applyFont="1" applyFill="1" applyBorder="1" applyAlignment="1">
      <alignment vertical="center"/>
    </xf>
    <xf numFmtId="0" fontId="30" fillId="24" borderId="0" xfId="41" applyFont="1" applyFill="1" applyAlignment="1">
      <alignment horizontal="left"/>
    </xf>
    <xf numFmtId="2" fontId="30" fillId="24" borderId="0" xfId="41" applyNumberFormat="1" applyFont="1" applyFill="1" applyAlignment="1">
      <alignment horizontal="right" wrapText="1"/>
    </xf>
    <xf numFmtId="0" fontId="36" fillId="27" borderId="43" xfId="41" applyFont="1" applyFill="1" applyBorder="1"/>
    <xf numFmtId="0" fontId="35" fillId="27" borderId="31" xfId="41" applyFont="1" applyFill="1" applyBorder="1"/>
    <xf numFmtId="0" fontId="35" fillId="27" borderId="44" xfId="41" applyFont="1" applyFill="1" applyBorder="1" applyAlignment="1">
      <alignment horizontal="right"/>
    </xf>
    <xf numFmtId="0" fontId="35" fillId="28" borderId="45" xfId="41" applyFont="1" applyFill="1" applyBorder="1" applyAlignment="1">
      <alignment horizontal="left"/>
    </xf>
    <xf numFmtId="0" fontId="55" fillId="30" borderId="48" xfId="41" applyFont="1" applyFill="1" applyBorder="1" applyAlignment="1">
      <alignment vertical="center"/>
    </xf>
    <xf numFmtId="165" fontId="35" fillId="0" borderId="47" xfId="41" applyNumberFormat="1" applyFont="1" applyBorder="1" applyAlignment="1">
      <alignment vertical="top" textRotation="255"/>
    </xf>
    <xf numFmtId="0" fontId="35" fillId="0" borderId="33" xfId="41" applyFont="1" applyBorder="1"/>
    <xf numFmtId="0" fontId="35" fillId="0" borderId="33" xfId="41" applyFont="1" applyBorder="1" applyAlignment="1">
      <alignment textRotation="255"/>
    </xf>
    <xf numFmtId="0" fontId="35" fillId="0" borderId="49" xfId="41" applyFont="1" applyBorder="1" applyAlignment="1">
      <alignment textRotation="255"/>
    </xf>
    <xf numFmtId="0" fontId="55" fillId="30" borderId="48" xfId="41" applyFont="1" applyFill="1" applyBorder="1" applyAlignment="1">
      <alignment vertical="top"/>
    </xf>
    <xf numFmtId="0" fontId="55" fillId="30" borderId="53" xfId="41" applyFont="1" applyFill="1" applyBorder="1" applyAlignment="1">
      <alignment vertical="top"/>
    </xf>
    <xf numFmtId="0" fontId="55" fillId="30" borderId="53" xfId="41" applyFont="1" applyFill="1" applyBorder="1" applyAlignment="1">
      <alignment vertical="center"/>
    </xf>
    <xf numFmtId="0" fontId="39" fillId="0" borderId="45" xfId="41" applyFont="1" applyBorder="1" applyAlignment="1">
      <alignment horizontal="center"/>
    </xf>
    <xf numFmtId="0" fontId="41" fillId="0" borderId="46" xfId="41" applyFont="1" applyBorder="1" applyAlignment="1">
      <alignment horizontal="center"/>
    </xf>
    <xf numFmtId="0" fontId="56" fillId="30" borderId="54" xfId="41" applyFont="1" applyFill="1" applyBorder="1"/>
    <xf numFmtId="0" fontId="55" fillId="30" borderId="55" xfId="41" applyFont="1" applyFill="1" applyBorder="1" applyAlignment="1">
      <alignment horizontal="left"/>
    </xf>
    <xf numFmtId="0" fontId="56" fillId="30" borderId="55" xfId="41" applyFont="1" applyFill="1" applyBorder="1"/>
    <xf numFmtId="0" fontId="56" fillId="30" borderId="55" xfId="41" applyFont="1" applyFill="1" applyBorder="1" applyAlignment="1">
      <alignment horizontal="right"/>
    </xf>
    <xf numFmtId="0" fontId="55" fillId="30" borderId="55" xfId="41" applyFont="1" applyFill="1" applyBorder="1" applyAlignment="1">
      <alignment vertical="top" textRotation="180"/>
    </xf>
    <xf numFmtId="0" fontId="55" fillId="30" borderId="56" xfId="41" applyFont="1" applyFill="1" applyBorder="1" applyAlignment="1">
      <alignment vertical="top" textRotation="180"/>
    </xf>
    <xf numFmtId="0" fontId="39" fillId="0" borderId="47" xfId="41" applyFont="1" applyBorder="1" applyAlignment="1">
      <alignment horizontal="center"/>
    </xf>
    <xf numFmtId="0" fontId="39" fillId="0" borderId="50" xfId="41" applyFont="1" applyBorder="1" applyAlignment="1">
      <alignment horizontal="center"/>
    </xf>
    <xf numFmtId="0" fontId="39" fillId="0" borderId="51" xfId="41" applyFont="1" applyBorder="1" applyAlignment="1">
      <alignment horizontal="center"/>
    </xf>
    <xf numFmtId="0" fontId="41" fillId="0" borderId="52" xfId="41" applyFont="1" applyBorder="1" applyAlignment="1">
      <alignment horizontal="center"/>
    </xf>
    <xf numFmtId="0" fontId="41" fillId="0" borderId="47" xfId="41" applyFont="1" applyBorder="1" applyAlignment="1">
      <alignment horizontal="center"/>
    </xf>
    <xf numFmtId="0" fontId="55" fillId="30" borderId="57" xfId="41" applyFont="1" applyFill="1" applyBorder="1" applyAlignment="1">
      <alignment vertical="top"/>
    </xf>
    <xf numFmtId="0" fontId="35" fillId="27" borderId="79" xfId="41" applyFont="1" applyFill="1" applyBorder="1" applyAlignment="1">
      <alignment horizontal="right" vertical="top"/>
    </xf>
    <xf numFmtId="1" fontId="24" fillId="24" borderId="23" xfId="41" applyNumberFormat="1" applyFont="1" applyFill="1" applyBorder="1" applyAlignment="1">
      <alignment vertical="center" wrapText="1"/>
    </xf>
    <xf numFmtId="0" fontId="57" fillId="24" borderId="15" xfId="34" applyNumberFormat="1" applyFont="1" applyFill="1" applyBorder="1" applyAlignment="1" applyProtection="1">
      <alignment horizontal="left" vertical="center" wrapText="1"/>
    </xf>
    <xf numFmtId="0" fontId="58" fillId="24" borderId="15" xfId="34" applyNumberFormat="1" applyFont="1" applyFill="1" applyBorder="1" applyAlignment="1" applyProtection="1">
      <alignment horizontal="left" vertical="center"/>
    </xf>
    <xf numFmtId="0" fontId="35" fillId="27" borderId="80" xfId="41" applyFont="1" applyFill="1" applyBorder="1" applyAlignment="1">
      <alignment horizontal="right"/>
    </xf>
    <xf numFmtId="0" fontId="38" fillId="24" borderId="42" xfId="39" applyFont="1" applyFill="1" applyBorder="1" applyAlignment="1">
      <alignment horizontal="left" wrapText="1"/>
    </xf>
    <xf numFmtId="0" fontId="35" fillId="24" borderId="40" xfId="41" applyFont="1" applyFill="1" applyBorder="1" applyAlignment="1">
      <alignment horizontal="center" vertical="center"/>
    </xf>
    <xf numFmtId="0" fontId="35" fillId="0" borderId="46" xfId="41" applyFont="1" applyBorder="1" applyAlignment="1">
      <alignment horizontal="left"/>
    </xf>
    <xf numFmtId="0" fontId="35" fillId="0" borderId="0" xfId="41" applyFont="1" applyAlignment="1">
      <alignment horizontal="right"/>
    </xf>
    <xf numFmtId="0" fontId="45" fillId="24" borderId="10" xfId="41" applyFont="1" applyFill="1" applyBorder="1" applyAlignment="1">
      <alignment horizontal="left"/>
    </xf>
    <xf numFmtId="0" fontId="45" fillId="24" borderId="42" xfId="41" applyFont="1" applyFill="1" applyBorder="1" applyAlignment="1">
      <alignment horizontal="left"/>
    </xf>
    <xf numFmtId="0" fontId="45" fillId="24" borderId="11" xfId="41" applyFont="1" applyFill="1" applyBorder="1" applyAlignment="1">
      <alignment horizontal="left"/>
    </xf>
    <xf numFmtId="0" fontId="30" fillId="24" borderId="38" xfId="41" applyFont="1" applyFill="1" applyBorder="1" applyAlignment="1">
      <alignment horizontal="left"/>
    </xf>
    <xf numFmtId="0" fontId="35" fillId="0" borderId="32" xfId="41" applyFont="1" applyBorder="1" applyAlignment="1">
      <alignment horizontal="left" vertical="top"/>
    </xf>
    <xf numFmtId="0" fontId="35" fillId="24" borderId="72" xfId="41" applyFont="1" applyFill="1" applyBorder="1" applyAlignment="1">
      <alignment horizontal="center" vertical="center"/>
    </xf>
    <xf numFmtId="0" fontId="35" fillId="24" borderId="71" xfId="41" applyFont="1" applyFill="1" applyBorder="1" applyAlignment="1">
      <alignment horizontal="center" vertical="center"/>
    </xf>
    <xf numFmtId="0" fontId="35" fillId="0" borderId="33" xfId="41" applyFont="1" applyBorder="1" applyAlignment="1">
      <alignment horizontal="left" vertical="top"/>
    </xf>
    <xf numFmtId="0" fontId="35" fillId="0" borderId="46" xfId="41" applyFont="1" applyBorder="1" applyAlignment="1">
      <alignment horizontal="left"/>
    </xf>
    <xf numFmtId="0" fontId="38" fillId="24" borderId="62" xfId="39" applyFont="1" applyFill="1" applyBorder="1" applyAlignment="1">
      <alignment horizontal="left" wrapText="1"/>
    </xf>
    <xf numFmtId="0" fontId="38" fillId="24" borderId="39" xfId="39" applyFont="1" applyFill="1" applyBorder="1" applyAlignment="1">
      <alignment horizontal="left" wrapText="1"/>
    </xf>
    <xf numFmtId="0" fontId="38" fillId="24" borderId="63" xfId="39" applyFont="1" applyFill="1" applyBorder="1" applyAlignment="1">
      <alignment horizontal="left" wrapText="1"/>
    </xf>
    <xf numFmtId="0" fontId="36" fillId="24" borderId="73" xfId="39" applyFont="1" applyFill="1" applyBorder="1" applyAlignment="1">
      <alignment horizontal="left" wrapText="1"/>
    </xf>
    <xf numFmtId="0" fontId="36" fillId="24" borderId="74" xfId="39" applyFont="1" applyFill="1" applyBorder="1" applyAlignment="1">
      <alignment horizontal="left" wrapText="1"/>
    </xf>
    <xf numFmtId="0" fontId="36" fillId="24" borderId="64" xfId="39" applyFont="1" applyFill="1" applyBorder="1" applyAlignment="1">
      <alignment horizontal="left" wrapText="1"/>
    </xf>
    <xf numFmtId="0" fontId="36" fillId="24" borderId="11" xfId="39" applyFont="1" applyFill="1" applyBorder="1" applyAlignment="1">
      <alignment horizontal="left" wrapText="1"/>
    </xf>
    <xf numFmtId="0" fontId="38" fillId="24" borderId="10" xfId="39" applyFont="1" applyFill="1" applyBorder="1" applyAlignment="1">
      <alignment horizontal="center" wrapText="1"/>
    </xf>
    <xf numFmtId="0" fontId="38" fillId="24" borderId="42" xfId="39" applyFont="1" applyFill="1" applyBorder="1" applyAlignment="1">
      <alignment horizontal="center" wrapText="1"/>
    </xf>
    <xf numFmtId="0" fontId="35" fillId="0" borderId="0" xfId="41" applyFont="1" applyAlignment="1">
      <alignment horizontal="right"/>
    </xf>
    <xf numFmtId="0" fontId="36" fillId="24" borderId="64" xfId="41" applyFont="1" applyFill="1" applyBorder="1" applyAlignment="1">
      <alignment horizontal="center" vertical="center"/>
    </xf>
    <xf numFmtId="0" fontId="36" fillId="24" borderId="11" xfId="41" applyFont="1" applyFill="1" applyBorder="1" applyAlignment="1">
      <alignment horizontal="center" vertical="center"/>
    </xf>
    <xf numFmtId="0" fontId="35" fillId="0" borderId="32" xfId="41" applyFont="1" applyBorder="1" applyAlignment="1">
      <alignment horizontal="left"/>
    </xf>
    <xf numFmtId="0" fontId="35" fillId="27" borderId="28" xfId="41" applyFont="1" applyFill="1" applyBorder="1" applyAlignment="1">
      <alignment horizontal="center"/>
    </xf>
    <xf numFmtId="0" fontId="35" fillId="27" borderId="29" xfId="41" applyFont="1" applyFill="1" applyBorder="1" applyAlignment="1">
      <alignment horizontal="center"/>
    </xf>
    <xf numFmtId="0" fontId="35" fillId="27" borderId="30" xfId="41" applyFont="1" applyFill="1" applyBorder="1" applyAlignment="1">
      <alignment horizontal="center"/>
    </xf>
    <xf numFmtId="0" fontId="36" fillId="24" borderId="75" xfId="39" applyFont="1" applyFill="1" applyBorder="1" applyAlignment="1">
      <alignment horizontal="left" wrapText="1"/>
    </xf>
    <xf numFmtId="0" fontId="36" fillId="24" borderId="41" xfId="39" applyFont="1" applyFill="1" applyBorder="1" applyAlignment="1">
      <alignment horizontal="left" wrapText="1"/>
    </xf>
    <xf numFmtId="0" fontId="35" fillId="24" borderId="40" xfId="41" applyFont="1" applyFill="1" applyBorder="1" applyAlignment="1">
      <alignment horizontal="center" vertical="center"/>
    </xf>
    <xf numFmtId="0" fontId="35" fillId="24" borderId="67" xfId="41" applyFont="1" applyFill="1" applyBorder="1" applyAlignment="1">
      <alignment horizontal="center" vertical="center"/>
    </xf>
    <xf numFmtId="0" fontId="35" fillId="24" borderId="68" xfId="41" applyFont="1" applyFill="1" applyBorder="1" applyAlignment="1">
      <alignment horizontal="center" vertical="center"/>
    </xf>
    <xf numFmtId="49" fontId="38" fillId="24" borderId="76" xfId="39" applyNumberFormat="1" applyFont="1" applyFill="1" applyBorder="1" applyAlignment="1">
      <alignment horizontal="left" wrapText="1"/>
    </xf>
    <xf numFmtId="49" fontId="38" fillId="24" borderId="77" xfId="39" applyNumberFormat="1" applyFont="1" applyFill="1" applyBorder="1" applyAlignment="1">
      <alignment horizontal="left" wrapText="1"/>
    </xf>
    <xf numFmtId="49" fontId="38" fillId="24" borderId="78" xfId="39" applyNumberFormat="1" applyFont="1" applyFill="1" applyBorder="1" applyAlignment="1">
      <alignment horizontal="left" wrapText="1"/>
    </xf>
    <xf numFmtId="49" fontId="38" fillId="24" borderId="41" xfId="39" applyNumberFormat="1" applyFont="1" applyFill="1" applyBorder="1" applyAlignment="1">
      <alignment horizontal="left" wrapText="1"/>
    </xf>
    <xf numFmtId="0" fontId="34" fillId="0" borderId="41" xfId="0" applyFont="1" applyBorder="1" applyAlignment="1">
      <alignment vertical="center"/>
    </xf>
    <xf numFmtId="0" fontId="36" fillId="24" borderId="58" xfId="41" applyFont="1" applyFill="1" applyBorder="1" applyAlignment="1">
      <alignment horizontal="center" vertical="center" wrapText="1"/>
    </xf>
    <xf numFmtId="0" fontId="36" fillId="24" borderId="42" xfId="41" applyFont="1" applyFill="1" applyBorder="1" applyAlignment="1">
      <alignment horizontal="center" vertical="center" wrapText="1"/>
    </xf>
    <xf numFmtId="0" fontId="36" fillId="24" borderId="59" xfId="41" applyFont="1" applyFill="1" applyBorder="1" applyAlignment="1">
      <alignment horizontal="center" vertical="center" wrapText="1"/>
    </xf>
    <xf numFmtId="0" fontId="36" fillId="24" borderId="10" xfId="41" applyFont="1" applyFill="1" applyBorder="1" applyAlignment="1">
      <alignment horizontal="center" vertical="center" wrapText="1"/>
    </xf>
    <xf numFmtId="0" fontId="36" fillId="24" borderId="11" xfId="41" applyFont="1" applyFill="1" applyBorder="1" applyAlignment="1">
      <alignment horizontal="center" vertical="center" wrapText="1"/>
    </xf>
    <xf numFmtId="0" fontId="36" fillId="24" borderId="34" xfId="39" applyFont="1" applyFill="1" applyBorder="1" applyAlignment="1">
      <alignment horizontal="left" wrapText="1"/>
    </xf>
    <xf numFmtId="0" fontId="36" fillId="24" borderId="35" xfId="39" applyFont="1" applyFill="1" applyBorder="1" applyAlignment="1">
      <alignment horizontal="left" wrapText="1"/>
    </xf>
    <xf numFmtId="0" fontId="36" fillId="24" borderId="36" xfId="39" applyFont="1" applyFill="1" applyBorder="1" applyAlignment="1">
      <alignment horizontal="left" wrapText="1"/>
    </xf>
    <xf numFmtId="0" fontId="35" fillId="24" borderId="58" xfId="39" applyFont="1" applyFill="1" applyBorder="1" applyAlignment="1">
      <alignment horizontal="center" wrapText="1"/>
    </xf>
    <xf numFmtId="0" fontId="35" fillId="24" borderId="42" xfId="39" applyFont="1" applyFill="1" applyBorder="1" applyAlignment="1">
      <alignment horizontal="center" wrapText="1"/>
    </xf>
    <xf numFmtId="0" fontId="35" fillId="24" borderId="60" xfId="39" applyFont="1" applyFill="1" applyBorder="1" applyAlignment="1">
      <alignment horizontal="center" wrapText="1"/>
    </xf>
    <xf numFmtId="0" fontId="36" fillId="24" borderId="61" xfId="41" applyFont="1" applyFill="1" applyBorder="1" applyAlignment="1">
      <alignment horizontal="center" vertical="center" wrapText="1"/>
    </xf>
    <xf numFmtId="0" fontId="36" fillId="24" borderId="28" xfId="39" applyFont="1" applyFill="1" applyBorder="1" applyAlignment="1">
      <alignment horizontal="left" wrapText="1"/>
    </xf>
    <xf numFmtId="0" fontId="36" fillId="24" borderId="29" xfId="39" applyFont="1" applyFill="1" applyBorder="1" applyAlignment="1">
      <alignment horizontal="left" wrapText="1"/>
    </xf>
    <xf numFmtId="0" fontId="36" fillId="24" borderId="30" xfId="39" applyFont="1" applyFill="1" applyBorder="1" applyAlignment="1">
      <alignment horizontal="left" wrapText="1"/>
    </xf>
    <xf numFmtId="0" fontId="35" fillId="24" borderId="69" xfId="41" applyFont="1" applyFill="1" applyBorder="1" applyAlignment="1">
      <alignment horizontal="center" vertical="center"/>
    </xf>
    <xf numFmtId="0" fontId="35" fillId="24" borderId="70" xfId="41" applyFont="1" applyFill="1" applyBorder="1" applyAlignment="1">
      <alignment horizontal="center" vertical="center"/>
    </xf>
    <xf numFmtId="0" fontId="38" fillId="24" borderId="65" xfId="39" applyFont="1" applyFill="1" applyBorder="1" applyAlignment="1">
      <alignment horizontal="left" wrapText="1"/>
    </xf>
    <xf numFmtId="0" fontId="38" fillId="24" borderId="66" xfId="39" applyFont="1" applyFill="1" applyBorder="1" applyAlignment="1">
      <alignment horizontal="left" wrapText="1"/>
    </xf>
    <xf numFmtId="0" fontId="38" fillId="24" borderId="58" xfId="39" applyFont="1" applyFill="1" applyBorder="1" applyAlignment="1">
      <alignment horizontal="left" wrapText="1"/>
    </xf>
    <xf numFmtId="0" fontId="38" fillId="24" borderId="42" xfId="39" applyFont="1" applyFill="1" applyBorder="1" applyAlignment="1">
      <alignment horizontal="left" wrapText="1"/>
    </xf>
    <xf numFmtId="0" fontId="38" fillId="24" borderId="60" xfId="39" applyFont="1" applyFill="1" applyBorder="1" applyAlignment="1">
      <alignment horizontal="left" wrapText="1"/>
    </xf>
    <xf numFmtId="0" fontId="36" fillId="27" borderId="28" xfId="41" applyFont="1" applyFill="1" applyBorder="1" applyAlignment="1">
      <alignment horizontal="center" vertical="top"/>
    </xf>
    <xf numFmtId="0" fontId="36" fillId="27" borderId="29" xfId="41" applyFont="1" applyFill="1" applyBorder="1" applyAlignment="1">
      <alignment horizontal="center" vertical="top"/>
    </xf>
    <xf numFmtId="0" fontId="36" fillId="27" borderId="30" xfId="41" applyFont="1" applyFill="1" applyBorder="1" applyAlignment="1">
      <alignment horizontal="center" vertical="top"/>
    </xf>
    <xf numFmtId="0" fontId="35" fillId="27" borderId="28" xfId="41" applyFont="1" applyFill="1" applyBorder="1" applyAlignment="1">
      <alignment horizontal="center" wrapText="1"/>
    </xf>
    <xf numFmtId="0" fontId="35" fillId="27" borderId="29" xfId="41" applyFont="1" applyFill="1" applyBorder="1" applyAlignment="1">
      <alignment horizontal="center" wrapText="1"/>
    </xf>
    <xf numFmtId="0" fontId="35" fillId="27" borderId="36" xfId="41" applyFont="1" applyFill="1" applyBorder="1" applyAlignment="1">
      <alignment horizontal="center" wrapText="1"/>
    </xf>
    <xf numFmtId="0" fontId="23" fillId="0" borderId="38" xfId="41" applyFont="1" applyBorder="1" applyAlignment="1">
      <alignment horizontal="center" vertical="center"/>
    </xf>
    <xf numFmtId="0" fontId="45" fillId="0" borderId="38" xfId="41" applyFont="1" applyBorder="1" applyAlignment="1">
      <alignment horizontal="left"/>
    </xf>
    <xf numFmtId="0" fontId="45" fillId="0" borderId="10" xfId="41" applyFont="1" applyBorder="1" applyAlignment="1">
      <alignment horizontal="left" vertical="center"/>
    </xf>
    <xf numFmtId="0" fontId="45" fillId="0" borderId="42" xfId="41" applyFont="1" applyBorder="1" applyAlignment="1">
      <alignment horizontal="left" vertical="center"/>
    </xf>
    <xf numFmtId="0" fontId="45" fillId="0" borderId="11" xfId="41" applyFont="1" applyBorder="1" applyAlignment="1">
      <alignment horizontal="left" vertical="center"/>
    </xf>
    <xf numFmtId="1" fontId="30" fillId="24" borderId="38" xfId="41" applyNumberFormat="1" applyFont="1" applyFill="1" applyBorder="1" applyAlignment="1">
      <alignment vertical="center" wrapText="1"/>
    </xf>
    <xf numFmtId="1" fontId="30" fillId="24" borderId="10" xfId="41" applyNumberFormat="1" applyFont="1" applyFill="1" applyBorder="1" applyAlignment="1"/>
    <xf numFmtId="0" fontId="45" fillId="24" borderId="10" xfId="41" applyFont="1" applyFill="1" applyBorder="1" applyAlignment="1">
      <alignment horizontal="left"/>
    </xf>
    <xf numFmtId="0" fontId="45" fillId="24" borderId="42" xfId="41" applyFont="1" applyFill="1" applyBorder="1" applyAlignment="1">
      <alignment horizontal="left"/>
    </xf>
    <xf numFmtId="0" fontId="45" fillId="24" borderId="11" xfId="41" applyFont="1" applyFill="1" applyBorder="1" applyAlignment="1">
      <alignment horizontal="left"/>
    </xf>
    <xf numFmtId="0" fontId="45" fillId="24" borderId="10" xfId="41" applyFont="1" applyFill="1" applyBorder="1" applyAlignment="1">
      <alignment horizontal="left" vertical="top" wrapText="1"/>
    </xf>
    <xf numFmtId="0" fontId="45" fillId="24" borderId="42" xfId="41" applyFont="1" applyFill="1" applyBorder="1" applyAlignment="1">
      <alignment horizontal="left" vertical="top" wrapText="1"/>
    </xf>
    <xf numFmtId="0" fontId="45" fillId="24" borderId="11" xfId="41" applyFont="1" applyFill="1" applyBorder="1" applyAlignment="1">
      <alignment horizontal="left" vertical="top" wrapText="1"/>
    </xf>
    <xf numFmtId="1" fontId="30" fillId="24" borderId="10" xfId="41" applyNumberFormat="1" applyFont="1" applyFill="1" applyBorder="1" applyAlignment="1">
      <alignment horizontal="left"/>
    </xf>
    <xf numFmtId="1" fontId="30" fillId="24" borderId="42" xfId="41" applyNumberFormat="1" applyFont="1" applyFill="1" applyBorder="1" applyAlignment="1">
      <alignment horizontal="left"/>
    </xf>
    <xf numFmtId="1" fontId="30" fillId="24" borderId="11" xfId="41" applyNumberFormat="1" applyFont="1" applyFill="1" applyBorder="1" applyAlignment="1">
      <alignment horizontal="left"/>
    </xf>
    <xf numFmtId="14" fontId="45" fillId="24" borderId="10" xfId="41" applyNumberFormat="1" applyFont="1" applyFill="1" applyBorder="1" applyAlignment="1">
      <alignment horizontal="left" vertical="top"/>
    </xf>
    <xf numFmtId="14" fontId="45" fillId="24" borderId="42" xfId="41" applyNumberFormat="1" applyFont="1" applyFill="1" applyBorder="1" applyAlignment="1">
      <alignment horizontal="left" vertical="top"/>
    </xf>
    <xf numFmtId="14" fontId="45" fillId="24" borderId="11" xfId="41" applyNumberFormat="1" applyFont="1" applyFill="1" applyBorder="1" applyAlignment="1">
      <alignment horizontal="left" vertical="top"/>
    </xf>
    <xf numFmtId="0" fontId="45" fillId="24" borderId="38" xfId="41" applyFont="1" applyFill="1" applyBorder="1" applyAlignment="1">
      <alignment horizontal="left"/>
    </xf>
    <xf numFmtId="0" fontId="30" fillId="24" borderId="38" xfId="41" applyFont="1" applyFill="1" applyBorder="1" applyAlignment="1">
      <alignment horizontal="left"/>
    </xf>
    <xf numFmtId="0" fontId="45" fillId="24" borderId="38" xfId="38" applyFont="1" applyFill="1" applyBorder="1" applyAlignment="1">
      <alignment vertical="top"/>
    </xf>
    <xf numFmtId="0" fontId="23" fillId="24" borderId="0" xfId="38" applyFont="1" applyFill="1" applyAlignment="1">
      <alignment horizontal="center"/>
    </xf>
    <xf numFmtId="0" fontId="30" fillId="24" borderId="10" xfId="41" applyFont="1" applyFill="1" applyBorder="1" applyAlignment="1">
      <alignment horizontal="center"/>
    </xf>
    <xf numFmtId="0" fontId="30" fillId="24" borderId="42" xfId="41" applyFont="1" applyFill="1" applyBorder="1" applyAlignment="1">
      <alignment horizontal="center"/>
    </xf>
    <xf numFmtId="0" fontId="30" fillId="24" borderId="11" xfId="41" applyFont="1" applyFill="1" applyBorder="1" applyAlignment="1">
      <alignment horizontal="center"/>
    </xf>
    <xf numFmtId="14" fontId="45" fillId="0" borderId="11" xfId="41" applyNumberFormat="1" applyFont="1" applyBorder="1" applyAlignment="1">
      <alignment horizontal="left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ình thường" xfId="0" builtinId="0"/>
    <cellStyle name="Đầu đề 1" xfId="30" builtinId="16" customBuiltin="1"/>
    <cellStyle name="Đầu đề 2" xfId="31" builtinId="17" customBuiltin="1"/>
    <cellStyle name="Đầu đề 3" xfId="32" builtinId="18" customBuiltin="1"/>
    <cellStyle name="Đầu đề 4" xfId="33" builtinId="19" customBuiltin="1"/>
    <cellStyle name="Đầu ra" xfId="44" builtinId="21" customBuiltin="1"/>
    <cellStyle name="Đầu vào" xfId="35" builtinId="20" customBuiltin="1"/>
    <cellStyle name="Ghi chú" xfId="43" builtinId="10" customBuiltin="1"/>
    <cellStyle name="Hyperlink" xfId="34" xr:uid="{00000000-000B-0000-0000-000008000000}"/>
    <cellStyle name="Kiểm tra Ô" xfId="27" builtinId="23" customBuiltin="1"/>
    <cellStyle name="Normal_Functional Test Case v1.0" xfId="38" xr:uid="{00000000-0005-0000-0000-000026000000}"/>
    <cellStyle name="Normal_Sheet1" xfId="39" xr:uid="{00000000-0005-0000-0000-000027000000}"/>
    <cellStyle name="Normal_Sheet1_Template_UnitTest Case_v0.9" xfId="40" xr:uid="{00000000-0005-0000-0000-000028000000}"/>
    <cellStyle name="Normal_Template_UnitTest Case_v0.9" xfId="41" xr:uid="{00000000-0005-0000-0000-000029000000}"/>
    <cellStyle name="Normal_Template_UnitTest Case_v0.9_Template_UnitTest Case_v0.9" xfId="42" xr:uid="{00000000-0005-0000-0000-00002A000000}"/>
    <cellStyle name="Ô được Nối kết" xfId="36" builtinId="24" customBuiltin="1"/>
    <cellStyle name="Tiêu đề" xfId="45" builtinId="15" customBuiltin="1"/>
    <cellStyle name="Tính toán" xfId="26" builtinId="22" customBuiltin="1"/>
    <cellStyle name="Tổng" xfId="46" builtinId="25" customBuiltin="1"/>
    <cellStyle name="Tốt" xfId="29" builtinId="26" customBuiltin="1"/>
    <cellStyle name="Trung lập" xfId="37" builtinId="28" customBuiltin="1"/>
    <cellStyle name="Văn bản Cảnh báo" xfId="47" builtinId="11" customBuiltin="1"/>
    <cellStyle name="Văn bản Giải thích" xfId="28" builtinId="53" customBuiltin="1"/>
    <cellStyle name="Xấu" xfId="25" builtinId="27" customBuiltin="1"/>
    <cellStyle name="標準_結合試験(AllOvertheWorld)" xfId="48" xr:uid="{00000000-0005-0000-0000-00003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41823654294"/>
          <c:y val="3.90623493491884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F3F-E144-89CB-8D3EFE81C77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F3F-E144-89CB-8D3EFE81C77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F3F-E144-89CB-8D3EFE81C77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3F-E144-89CB-8D3EFE81C77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9F3F-E144-89CB-8D3EFE81C77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9F3F-E144-89CB-8D3EFE81C77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F3F-E144-89CB-8D3EFE81C77F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Statistics!$F$16:$H$16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9F3F-E144-89CB-8D3EFE81C77F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F3F-E144-89CB-8D3EFE81C77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9F3F-E144-89CB-8D3EFE81C77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9F3F-E144-89CB-8D3EFE81C77F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F3F-E144-89CB-8D3EFE81C77F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F3F-E144-89CB-8D3EFE81C77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9F3F-E144-89CB-8D3EFE81C77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9F3F-E144-89CB-8D3EFE81C77F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F3F-E144-89CB-8D3EFE81C77F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F3F-E144-89CB-8D3EFE81C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548628093843211"/>
          <c:y val="0.39286919492206329"/>
          <c:w val="8.532691945929971E-2"/>
          <c:h val="0.3112341314478547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V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VN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91315078151"/>
          <c:y val="3.95259271347558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69C-0249-9A55-BD47B63131E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9C-0249-9A55-BD47B63131E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69C-0249-9A55-BD47B63131E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9C-0249-9A55-BD47B63131E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69C-0249-9A55-BD47B63131E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D69C-0249-9A55-BD47B63131E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69C-0249-9A55-BD47B63131E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Statistics!$C$16:$E$16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D69C-0249-9A55-BD47B63131ED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69C-0249-9A55-BD47B63131E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D69C-0249-9A55-BD47B63131E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D69C-0249-9A55-BD47B63131E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69C-0249-9A55-BD47B63131ED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69C-0249-9A55-BD47B63131E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D69C-0249-9A55-BD47B63131E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D69C-0249-9A55-BD47B63131E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69C-0249-9A55-BD47B63131ED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69C-0249-9A55-BD47B6313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211352685391933"/>
          <c:y val="0.43006609277467256"/>
          <c:w val="0.19105065225055828"/>
          <c:h val="0.2953465790869406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V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VN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</xdr:col>
      <xdr:colOff>0</xdr:colOff>
      <xdr:row>1</xdr:row>
      <xdr:rowOff>787400</xdr:rowOff>
    </xdr:to>
    <xdr:pic>
      <xdr:nvPicPr>
        <xdr:cNvPr id="1062" name="Picture 1">
          <a:extLst>
            <a:ext uri="{FF2B5EF4-FFF2-40B4-BE49-F238E27FC236}">
              <a16:creationId xmlns:a16="http://schemas.microsoft.com/office/drawing/2014/main" id="{8FECF0D1-F4AC-C106-CE9C-10DC71770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546100</xdr:colOff>
      <xdr:row>24</xdr:row>
      <xdr:rowOff>0</xdr:rowOff>
    </xdr:from>
    <xdr:to>
      <xdr:col>9</xdr:col>
      <xdr:colOff>0</xdr:colOff>
      <xdr:row>39</xdr:row>
      <xdr:rowOff>12700</xdr:rowOff>
    </xdr:to>
    <xdr:graphicFrame macro="">
      <xdr:nvGraphicFramePr>
        <xdr:cNvPr id="2121" name="Chart 16">
          <a:extLst>
            <a:ext uri="{FF2B5EF4-FFF2-40B4-BE49-F238E27FC236}">
              <a16:creationId xmlns:a16="http://schemas.microsoft.com/office/drawing/2014/main" id="{9BB06888-0882-3D1B-8DC0-01CAC748A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24</xdr:row>
      <xdr:rowOff>25400</xdr:rowOff>
    </xdr:from>
    <xdr:to>
      <xdr:col>3</xdr:col>
      <xdr:colOff>241300</xdr:colOff>
      <xdr:row>39</xdr:row>
      <xdr:rowOff>0</xdr:rowOff>
    </xdr:to>
    <xdr:graphicFrame macro="">
      <xdr:nvGraphicFramePr>
        <xdr:cNvPr id="2122" name="Chart 17">
          <a:extLst>
            <a:ext uri="{FF2B5EF4-FFF2-40B4-BE49-F238E27FC236}">
              <a16:creationId xmlns:a16="http://schemas.microsoft.com/office/drawing/2014/main" id="{9CB92880-13B9-F818-03D7-EB024931ADEB}"/>
            </a:ext>
            <a:ext uri="{147F2762-F138-4A5C-976F-8EAC2B608ADB}">
              <a16:predDERef xmlns:a16="http://schemas.microsoft.com/office/drawing/2014/main" pred="{9BB06888-0882-3D1B-8DC0-01CAC748A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1drv.ms/x/c/3d57bf3fe25a6a40/IQBHmtSEvI5DTq8s22YOBpdcAbfvCC_ab9b8wynJ562nHIE?e=HLyufb&amp;nav=MTVfezAwMDAwMDAwLTAwMDEtMDAwMC0wNTAwLTAwMDAwMDAwMDAwMH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zoomScale="85" zoomScaleNormal="85" workbookViewId="0"/>
  </sheetViews>
  <sheetFormatPr defaultColWidth="9" defaultRowHeight="14.1"/>
  <cols>
    <col min="1" max="1" width="119.28515625" style="113" customWidth="1"/>
    <col min="2" max="16384" width="9" style="113"/>
  </cols>
  <sheetData>
    <row r="1" spans="1:1" s="110" customFormat="1" ht="23.1">
      <c r="A1" s="109" t="s">
        <v>0</v>
      </c>
    </row>
    <row r="2" spans="1:1" s="110" customFormat="1" ht="23.1">
      <c r="A2" s="109"/>
    </row>
    <row r="3" spans="1:1" s="111" customFormat="1" ht="18">
      <c r="A3" s="114" t="s">
        <v>1</v>
      </c>
    </row>
    <row r="4" spans="1:1" ht="15" customHeight="1">
      <c r="A4" s="117" t="s">
        <v>2</v>
      </c>
    </row>
    <row r="5" spans="1:1" ht="15" customHeight="1">
      <c r="A5" s="117" t="s">
        <v>3</v>
      </c>
    </row>
    <row r="6" spans="1:1" ht="42">
      <c r="A6" s="118" t="s">
        <v>4</v>
      </c>
    </row>
    <row r="7" spans="1:1" ht="29.25" customHeight="1">
      <c r="A7" s="118" t="s">
        <v>5</v>
      </c>
    </row>
    <row r="8" spans="1:1" ht="30" customHeight="1">
      <c r="A8" s="119" t="s">
        <v>6</v>
      </c>
    </row>
    <row r="9" spans="1:1" s="122" customFormat="1" ht="16.5" customHeight="1">
      <c r="A9" s="121" t="s">
        <v>7</v>
      </c>
    </row>
    <row r="10" spans="1:1" ht="16.5" customHeight="1">
      <c r="A10" s="112"/>
    </row>
    <row r="11" spans="1:1" s="111" customFormat="1" ht="18">
      <c r="A11" s="114" t="s">
        <v>8</v>
      </c>
    </row>
    <row r="12" spans="1:1" s="115" customFormat="1" ht="15">
      <c r="A12" s="120" t="s">
        <v>9</v>
      </c>
    </row>
    <row r="13" spans="1:1" ht="27.95">
      <c r="A13" s="117" t="s">
        <v>10</v>
      </c>
    </row>
    <row r="14" spans="1:1">
      <c r="A14" s="117" t="s">
        <v>11</v>
      </c>
    </row>
    <row r="15" spans="1:1">
      <c r="A15" s="118" t="s">
        <v>12</v>
      </c>
    </row>
    <row r="16" spans="1:1">
      <c r="A16" s="112"/>
    </row>
    <row r="17" spans="1:4" s="115" customFormat="1" ht="15">
      <c r="A17" s="120" t="s">
        <v>13</v>
      </c>
    </row>
    <row r="18" spans="1:4">
      <c r="A18" s="117" t="s">
        <v>14</v>
      </c>
      <c r="B18" s="112"/>
    </row>
    <row r="19" spans="1:4">
      <c r="A19" s="120" t="s">
        <v>15</v>
      </c>
    </row>
    <row r="20" spans="1:4">
      <c r="A20" s="117" t="s">
        <v>16</v>
      </c>
      <c r="B20" s="112"/>
    </row>
    <row r="21" spans="1:4" ht="27.95">
      <c r="A21" s="118" t="s">
        <v>17</v>
      </c>
    </row>
    <row r="22" spans="1:4">
      <c r="A22" s="117" t="s">
        <v>18</v>
      </c>
      <c r="B22" s="116"/>
    </row>
    <row r="23" spans="1:4">
      <c r="A23" s="117" t="s">
        <v>19</v>
      </c>
      <c r="B23" s="112"/>
    </row>
    <row r="24" spans="1:4">
      <c r="A24" s="117" t="s">
        <v>20</v>
      </c>
      <c r="B24" s="112"/>
    </row>
    <row r="25" spans="1:4" ht="15">
      <c r="A25" s="117" t="s">
        <v>21</v>
      </c>
      <c r="B25" s="112"/>
      <c r="C25" s="112" t="s">
        <v>22</v>
      </c>
      <c r="D25" s="112" t="s">
        <v>22</v>
      </c>
    </row>
    <row r="26" spans="1:4">
      <c r="A26" s="117" t="s">
        <v>23</v>
      </c>
    </row>
    <row r="27" spans="1:4">
      <c r="A27" s="117" t="s">
        <v>24</v>
      </c>
      <c r="B27" s="112"/>
    </row>
    <row r="28" spans="1:4">
      <c r="A28" s="117" t="s">
        <v>25</v>
      </c>
    </row>
    <row r="29" spans="1:4">
      <c r="A29" s="117" t="s">
        <v>26</v>
      </c>
    </row>
    <row r="30" spans="1:4" ht="15">
      <c r="A30" s="117" t="s">
        <v>27</v>
      </c>
      <c r="B30" s="112"/>
      <c r="C30" s="112" t="s">
        <v>22</v>
      </c>
    </row>
    <row r="31" spans="1:4">
      <c r="A31" s="120" t="s">
        <v>28</v>
      </c>
    </row>
    <row r="32" spans="1:4" ht="30" customHeight="1">
      <c r="A32" s="118" t="s">
        <v>29</v>
      </c>
    </row>
    <row r="33" spans="1:2">
      <c r="A33" s="117" t="s">
        <v>30</v>
      </c>
    </row>
    <row r="34" spans="1:2">
      <c r="A34" s="117" t="s">
        <v>31</v>
      </c>
    </row>
    <row r="35" spans="1:2">
      <c r="A35" s="117" t="s">
        <v>32</v>
      </c>
      <c r="B35" s="112"/>
    </row>
    <row r="36" spans="1:2">
      <c r="A36" s="117" t="s">
        <v>33</v>
      </c>
      <c r="B36" s="112"/>
    </row>
    <row r="37" spans="1:2">
      <c r="A37" s="120" t="s">
        <v>34</v>
      </c>
    </row>
    <row r="38" spans="1:2">
      <c r="A38" s="117" t="s">
        <v>35</v>
      </c>
    </row>
    <row r="39" spans="1:2" ht="42">
      <c r="A39" s="119" t="s">
        <v>36</v>
      </c>
      <c r="B39" s="112"/>
    </row>
    <row r="40" spans="1:2">
      <c r="A40" s="119"/>
      <c r="B40" s="112"/>
    </row>
    <row r="41" spans="1:2" s="115" customFormat="1" ht="15">
      <c r="A41" s="120" t="s">
        <v>37</v>
      </c>
    </row>
    <row r="42" spans="1:2">
      <c r="A42" s="117" t="s">
        <v>38</v>
      </c>
    </row>
    <row r="43" spans="1:2">
      <c r="A43" s="117" t="s">
        <v>39</v>
      </c>
    </row>
    <row r="44" spans="1:2">
      <c r="A44" s="117" t="s">
        <v>40</v>
      </c>
    </row>
    <row r="45" spans="1:2">
      <c r="A45" s="117" t="s">
        <v>41</v>
      </c>
    </row>
    <row r="46" spans="1:2">
      <c r="A46" s="117" t="s">
        <v>42</v>
      </c>
    </row>
    <row r="47" spans="1:2">
      <c r="A47" s="117" t="s">
        <v>43</v>
      </c>
    </row>
    <row r="48" spans="1:2" ht="15">
      <c r="A48" s="112" t="s">
        <v>44</v>
      </c>
    </row>
    <row r="49" spans="1:1">
      <c r="A49" s="112"/>
    </row>
  </sheetData>
  <phoneticPr fontId="44"/>
  <pageMargins left="0.75" right="0.75" top="0.7" bottom="0.6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7"/>
  <sheetViews>
    <sheetView showGridLines="0" tabSelected="1" topLeftCell="A2" workbookViewId="0">
      <selection activeCell="C14" sqref="C14"/>
    </sheetView>
  </sheetViews>
  <sheetFormatPr defaultColWidth="9" defaultRowHeight="12.95"/>
  <cols>
    <col min="1" max="1" width="28.140625" style="24" customWidth="1"/>
    <col min="2" max="2" width="10" style="3" customWidth="1"/>
    <col min="3" max="3" width="14.28515625" style="3" customWidth="1"/>
    <col min="4" max="4" width="8" style="3" customWidth="1"/>
    <col min="5" max="5" width="38" style="3" customWidth="1"/>
    <col min="6" max="6" width="48.140625" style="3" customWidth="1"/>
    <col min="7" max="16384" width="9" style="3"/>
  </cols>
  <sheetData>
    <row r="2" spans="1:6" s="2" customFormat="1" ht="75.75" customHeight="1">
      <c r="A2" s="1"/>
      <c r="B2" s="232" t="s">
        <v>45</v>
      </c>
      <c r="C2" s="232"/>
      <c r="D2" s="232"/>
      <c r="E2" s="232"/>
      <c r="F2" s="232"/>
    </row>
    <row r="3" spans="1:6">
      <c r="A3" s="4"/>
      <c r="B3" s="5"/>
      <c r="E3" s="6"/>
    </row>
    <row r="4" spans="1:6" ht="14.25" customHeight="1">
      <c r="A4" s="172" t="s">
        <v>46</v>
      </c>
      <c r="B4" s="233" t="s">
        <v>47</v>
      </c>
      <c r="C4" s="233"/>
      <c r="D4" s="233"/>
      <c r="E4" s="172" t="s">
        <v>48</v>
      </c>
      <c r="F4" s="7" t="s">
        <v>49</v>
      </c>
    </row>
    <row r="5" spans="1:6" ht="14.25" customHeight="1">
      <c r="A5" s="172" t="s">
        <v>50</v>
      </c>
      <c r="B5" s="233" t="s">
        <v>51</v>
      </c>
      <c r="C5" s="233"/>
      <c r="D5" s="233"/>
      <c r="E5" s="172" t="s">
        <v>52</v>
      </c>
      <c r="F5" s="258">
        <v>46184</v>
      </c>
    </row>
    <row r="6" spans="1:6" ht="15.75" customHeight="1">
      <c r="A6" s="131" t="s">
        <v>53</v>
      </c>
      <c r="B6" s="234" t="s">
        <v>54</v>
      </c>
      <c r="C6" s="235"/>
      <c r="D6" s="236"/>
      <c r="E6" s="172" t="s">
        <v>55</v>
      </c>
      <c r="F6" s="104" t="s">
        <v>56</v>
      </c>
    </row>
    <row r="7" spans="1:6">
      <c r="A7" s="123"/>
      <c r="B7" s="8"/>
      <c r="E7" s="9"/>
      <c r="F7" s="5"/>
    </row>
    <row r="8" spans="1:6">
      <c r="A8" s="3"/>
    </row>
    <row r="9" spans="1:6">
      <c r="A9" s="124" t="s">
        <v>57</v>
      </c>
    </row>
    <row r="10" spans="1:6" s="10" customFormat="1">
      <c r="A10" s="11" t="s">
        <v>58</v>
      </c>
      <c r="B10" s="12" t="s">
        <v>55</v>
      </c>
      <c r="C10" s="12" t="s">
        <v>59</v>
      </c>
      <c r="D10" s="12" t="s">
        <v>60</v>
      </c>
      <c r="E10" s="12" t="s">
        <v>61</v>
      </c>
      <c r="F10" s="13" t="s">
        <v>62</v>
      </c>
    </row>
    <row r="11" spans="1:6" s="14" customFormat="1" ht="26.25" customHeight="1">
      <c r="A11" s="105" t="s">
        <v>63</v>
      </c>
      <c r="B11" s="15"/>
      <c r="C11" s="16"/>
      <c r="D11" s="16"/>
      <c r="E11" s="17"/>
      <c r="F11" s="106" t="s">
        <v>64</v>
      </c>
    </row>
    <row r="12" spans="1:6" s="14" customFormat="1" ht="21.75" customHeight="1">
      <c r="A12" s="18"/>
      <c r="B12" s="15"/>
      <c r="C12" s="16"/>
      <c r="D12" s="16"/>
      <c r="E12" s="16"/>
      <c r="F12" s="19"/>
    </row>
    <row r="13" spans="1:6" s="14" customFormat="1" ht="19.5" customHeight="1">
      <c r="A13" s="18"/>
      <c r="B13" s="15"/>
      <c r="C13" s="16"/>
      <c r="D13" s="16"/>
      <c r="E13" s="16"/>
      <c r="F13" s="19"/>
    </row>
    <row r="14" spans="1:6" s="14" customFormat="1" ht="21.75" customHeight="1">
      <c r="A14" s="18"/>
      <c r="B14" s="15"/>
      <c r="C14" s="16"/>
      <c r="D14" s="16"/>
      <c r="E14" s="16"/>
      <c r="F14" s="19"/>
    </row>
    <row r="15" spans="1:6" s="14" customFormat="1" ht="19.5" customHeight="1">
      <c r="A15" s="18"/>
      <c r="B15" s="15"/>
      <c r="C15" s="16"/>
      <c r="D15" s="16"/>
      <c r="E15" s="16"/>
      <c r="F15" s="19"/>
    </row>
    <row r="16" spans="1:6" s="14" customFormat="1" ht="21.75" customHeight="1">
      <c r="A16" s="18"/>
      <c r="B16" s="15"/>
      <c r="C16" s="16"/>
      <c r="D16" s="16"/>
      <c r="E16" s="16"/>
      <c r="F16" s="19"/>
    </row>
    <row r="17" spans="1:6" s="14" customFormat="1" ht="19.5" customHeight="1">
      <c r="A17" s="20"/>
      <c r="B17" s="21"/>
      <c r="C17" s="22"/>
      <c r="D17" s="22"/>
      <c r="E17" s="22"/>
      <c r="F17" s="23"/>
    </row>
  </sheetData>
  <mergeCells count="4">
    <mergeCell ref="B2:F2"/>
    <mergeCell ref="B4:D4"/>
    <mergeCell ref="B5:D5"/>
    <mergeCell ref="B6:D6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zoomScaleNormal="100" workbookViewId="0">
      <selection activeCell="D12" sqref="D12"/>
    </sheetView>
  </sheetViews>
  <sheetFormatPr defaultColWidth="9" defaultRowHeight="12.95"/>
  <cols>
    <col min="1" max="1" width="7.140625" style="56" customWidth="1"/>
    <col min="2" max="2" width="22.85546875" style="56" customWidth="1"/>
    <col min="3" max="3" width="12.7109375" style="56" customWidth="1"/>
    <col min="4" max="4" width="22.42578125" style="26" customWidth="1"/>
    <col min="5" max="5" width="21" style="27" customWidth="1"/>
    <col min="6" max="6" width="20.7109375" style="26" customWidth="1"/>
    <col min="7" max="7" width="41.85546875" style="26" customWidth="1"/>
    <col min="8" max="8" width="51.28515625" style="26" customWidth="1"/>
    <col min="9" max="16384" width="9" style="6"/>
  </cols>
  <sheetData>
    <row r="2" spans="1:8" ht="24.95">
      <c r="A2" s="25"/>
      <c r="B2" s="25"/>
      <c r="C2" s="25"/>
      <c r="E2" s="28" t="s">
        <v>65</v>
      </c>
      <c r="F2" s="28"/>
      <c r="G2" s="29"/>
    </row>
    <row r="3" spans="1:8" ht="13.5" customHeight="1">
      <c r="A3" s="25"/>
      <c r="B3" s="25"/>
      <c r="C3" s="25"/>
      <c r="F3" s="30"/>
      <c r="G3" s="30"/>
    </row>
    <row r="4" spans="1:8" ht="14.25" customHeight="1">
      <c r="A4" s="238" t="s">
        <v>46</v>
      </c>
      <c r="B4" s="238"/>
      <c r="C4" s="238"/>
      <c r="D4" s="238"/>
      <c r="E4" s="239" t="s">
        <v>47</v>
      </c>
      <c r="F4" s="240"/>
      <c r="G4" s="240"/>
      <c r="H4" s="241"/>
    </row>
    <row r="5" spans="1:8" ht="14.25" customHeight="1">
      <c r="A5" s="238" t="s">
        <v>50</v>
      </c>
      <c r="B5" s="238"/>
      <c r="C5" s="238"/>
      <c r="D5" s="238"/>
      <c r="E5" s="239" t="s">
        <v>51</v>
      </c>
      <c r="F5" s="240"/>
      <c r="G5" s="240"/>
      <c r="H5" s="241"/>
    </row>
    <row r="6" spans="1:8" ht="14.25" customHeight="1">
      <c r="A6" s="245" t="s">
        <v>66</v>
      </c>
      <c r="B6" s="246"/>
      <c r="C6" s="246"/>
      <c r="D6" s="247"/>
      <c r="E6" s="169">
        <v>9</v>
      </c>
      <c r="F6" s="170"/>
      <c r="G6" s="170"/>
      <c r="H6" s="171"/>
    </row>
    <row r="7" spans="1:8" s="31" customFormat="1" ht="12.75" customHeight="1">
      <c r="A7" s="237" t="s">
        <v>67</v>
      </c>
      <c r="B7" s="237"/>
      <c r="C7" s="237"/>
      <c r="D7" s="237"/>
      <c r="E7" s="242" t="s">
        <v>68</v>
      </c>
      <c r="F7" s="243"/>
      <c r="G7" s="243"/>
      <c r="H7" s="244"/>
    </row>
    <row r="8" spans="1:8">
      <c r="A8" s="32"/>
      <c r="B8" s="32"/>
      <c r="C8" s="32"/>
      <c r="D8" s="6"/>
      <c r="E8" s="31"/>
      <c r="F8" s="6"/>
      <c r="G8" s="6"/>
      <c r="H8" s="6"/>
    </row>
    <row r="9" spans="1:8" s="36" customFormat="1">
      <c r="A9" s="33"/>
      <c r="B9" s="33"/>
      <c r="C9" s="33"/>
      <c r="D9" s="34"/>
      <c r="E9" s="35"/>
      <c r="F9" s="34"/>
      <c r="G9" s="34"/>
      <c r="H9" s="34"/>
    </row>
    <row r="10" spans="1:8" s="44" customFormat="1" ht="24" customHeight="1">
      <c r="A10" s="37" t="s">
        <v>69</v>
      </c>
      <c r="B10" s="38" t="s">
        <v>70</v>
      </c>
      <c r="C10" s="39" t="s">
        <v>71</v>
      </c>
      <c r="D10" s="40" t="s">
        <v>72</v>
      </c>
      <c r="E10" s="41" t="s">
        <v>73</v>
      </c>
      <c r="F10" s="40" t="s">
        <v>74</v>
      </c>
      <c r="G10" s="42" t="s">
        <v>75</v>
      </c>
      <c r="H10" s="43" t="s">
        <v>76</v>
      </c>
    </row>
    <row r="11" spans="1:8" ht="44.25" customHeight="1">
      <c r="A11" s="107">
        <v>1</v>
      </c>
      <c r="B11" s="161" t="s">
        <v>77</v>
      </c>
      <c r="C11" s="45" t="s">
        <v>78</v>
      </c>
      <c r="D11" s="46" t="s">
        <v>79</v>
      </c>
      <c r="E11" s="47" t="s">
        <v>80</v>
      </c>
      <c r="F11" s="163" t="s">
        <v>81</v>
      </c>
      <c r="G11" s="162" t="s">
        <v>82</v>
      </c>
      <c r="H11" s="49" t="s">
        <v>83</v>
      </c>
    </row>
    <row r="12" spans="1:8" ht="36.75" customHeight="1">
      <c r="A12" s="107"/>
      <c r="B12" s="45"/>
      <c r="C12" s="161"/>
      <c r="D12" s="46"/>
      <c r="E12" s="47"/>
      <c r="F12" s="163"/>
      <c r="G12" s="162"/>
      <c r="H12" s="49"/>
    </row>
    <row r="13" spans="1:8" ht="44.25" customHeight="1">
      <c r="A13" s="107"/>
      <c r="B13" s="45"/>
      <c r="C13" s="161"/>
      <c r="D13" s="46"/>
      <c r="E13" s="47"/>
      <c r="F13" s="48"/>
      <c r="G13" s="162"/>
      <c r="H13" s="49"/>
    </row>
    <row r="14" spans="1:8" ht="41.25" customHeight="1">
      <c r="A14" s="107"/>
      <c r="B14" s="45"/>
      <c r="C14" s="161"/>
      <c r="D14" s="46"/>
      <c r="E14" s="47"/>
      <c r="F14" s="48"/>
      <c r="G14" s="162"/>
      <c r="H14" s="49"/>
    </row>
    <row r="15" spans="1:8">
      <c r="A15" s="107"/>
      <c r="B15" s="45"/>
      <c r="C15" s="45"/>
      <c r="D15" s="46"/>
      <c r="E15" s="47"/>
      <c r="F15" s="48"/>
      <c r="G15" s="48"/>
      <c r="H15" s="49"/>
    </row>
    <row r="16" spans="1:8">
      <c r="A16" s="107"/>
      <c r="B16" s="45"/>
      <c r="C16" s="45"/>
      <c r="D16" s="46"/>
      <c r="E16" s="47"/>
      <c r="F16" s="50"/>
      <c r="G16" s="50"/>
      <c r="H16" s="49"/>
    </row>
    <row r="17" spans="1:8">
      <c r="A17" s="107"/>
      <c r="B17" s="45"/>
      <c r="C17" s="45"/>
      <c r="D17" s="46"/>
      <c r="E17" s="47"/>
      <c r="F17" s="50"/>
      <c r="G17" s="50"/>
      <c r="H17" s="49"/>
    </row>
    <row r="18" spans="1:8">
      <c r="A18" s="107"/>
      <c r="B18" s="45"/>
      <c r="C18" s="45"/>
      <c r="D18" s="46"/>
      <c r="E18" s="47"/>
      <c r="F18" s="50"/>
      <c r="G18" s="50"/>
      <c r="H18" s="49"/>
    </row>
    <row r="19" spans="1:8">
      <c r="A19" s="107"/>
      <c r="B19" s="45"/>
      <c r="C19" s="45"/>
      <c r="D19" s="46"/>
      <c r="E19" s="47"/>
      <c r="F19" s="50"/>
      <c r="G19" s="50"/>
      <c r="H19" s="49"/>
    </row>
    <row r="20" spans="1:8">
      <c r="A20" s="107"/>
      <c r="B20" s="45"/>
      <c r="C20" s="45"/>
      <c r="D20" s="46"/>
      <c r="E20" s="47"/>
      <c r="F20" s="50"/>
      <c r="G20" s="50"/>
      <c r="H20" s="49"/>
    </row>
    <row r="21" spans="1:8">
      <c r="A21" s="107"/>
      <c r="B21" s="45"/>
      <c r="C21" s="45"/>
      <c r="D21" s="46"/>
      <c r="E21" s="47"/>
      <c r="F21" s="50"/>
      <c r="G21" s="50"/>
      <c r="H21" s="49"/>
    </row>
    <row r="22" spans="1:8">
      <c r="A22" s="107"/>
      <c r="B22" s="45"/>
      <c r="C22" s="45"/>
      <c r="D22" s="46"/>
      <c r="E22" s="47"/>
      <c r="F22" s="50"/>
      <c r="G22" s="50"/>
      <c r="H22" s="49"/>
    </row>
    <row r="23" spans="1:8">
      <c r="A23" s="108"/>
      <c r="B23" s="51"/>
      <c r="C23" s="51"/>
      <c r="D23" s="52"/>
      <c r="E23" s="53"/>
      <c r="F23" s="54"/>
      <c r="G23" s="54"/>
      <c r="H23" s="55"/>
    </row>
  </sheetData>
  <mergeCells count="7">
    <mergeCell ref="A7:D7"/>
    <mergeCell ref="A4:D4"/>
    <mergeCell ref="A5:D5"/>
    <mergeCell ref="E4:H4"/>
    <mergeCell ref="E5:H5"/>
    <mergeCell ref="E7:H7"/>
    <mergeCell ref="A6:D6"/>
  </mergeCells>
  <phoneticPr fontId="0" type="noConversion"/>
  <hyperlinks>
    <hyperlink ref="F11" r:id="rId1" xr:uid="{00000000-0004-0000-0200-000000000000}"/>
  </hyperlinks>
  <pageMargins left="0.65" right="0.65" top="0.75" bottom="0.75" header="0.5" footer="0.5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23"/>
  <sheetViews>
    <sheetView workbookViewId="0">
      <selection activeCell="I13" sqref="I13"/>
    </sheetView>
  </sheetViews>
  <sheetFormatPr defaultColWidth="9" defaultRowHeight="12.95"/>
  <cols>
    <col min="1" max="1" width="15.28515625" style="6" customWidth="1"/>
    <col min="2" max="2" width="26.7109375" style="6" customWidth="1"/>
    <col min="3" max="3" width="12.140625" style="6" customWidth="1"/>
    <col min="4" max="4" width="9.7109375" style="6" customWidth="1"/>
    <col min="5" max="5" width="9.85546875" style="6" customWidth="1"/>
    <col min="6" max="8" width="5.140625" style="6" customWidth="1"/>
    <col min="9" max="9" width="21" style="6" customWidth="1"/>
    <col min="10" max="10" width="33.140625" style="6" customWidth="1"/>
    <col min="11" max="16384" width="9" style="6"/>
  </cols>
  <sheetData>
    <row r="2" spans="1:9" ht="25.5" customHeight="1">
      <c r="A2" s="254" t="s">
        <v>84</v>
      </c>
      <c r="B2" s="254"/>
      <c r="C2" s="254"/>
      <c r="D2" s="254"/>
      <c r="E2" s="254"/>
      <c r="F2" s="254"/>
      <c r="G2" s="254"/>
      <c r="H2" s="254"/>
      <c r="I2" s="254"/>
    </row>
    <row r="3" spans="1:9" ht="14.25" customHeight="1">
      <c r="A3" s="57"/>
      <c r="B3" s="58"/>
      <c r="C3" s="58"/>
      <c r="D3" s="58"/>
      <c r="E3" s="58"/>
      <c r="F3" s="58"/>
      <c r="G3" s="58"/>
      <c r="H3" s="58"/>
      <c r="I3" s="59"/>
    </row>
    <row r="4" spans="1:9" ht="13.5" customHeight="1">
      <c r="A4" s="130" t="s">
        <v>46</v>
      </c>
      <c r="B4" s="251" t="str">
        <f>Cover!B4</f>
        <v>Bandwidth Calculator</v>
      </c>
      <c r="C4" s="251"/>
      <c r="D4" s="252" t="s">
        <v>48</v>
      </c>
      <c r="E4" s="252"/>
      <c r="F4" s="255"/>
      <c r="G4" s="256"/>
      <c r="H4" s="256"/>
      <c r="I4" s="257"/>
    </row>
    <row r="5" spans="1:9" ht="13.5" customHeight="1">
      <c r="A5" s="130" t="s">
        <v>50</v>
      </c>
      <c r="B5" s="251" t="str">
        <f>Cover!B5</f>
        <v>SWT301_Lab1</v>
      </c>
      <c r="C5" s="251"/>
      <c r="D5" s="252" t="s">
        <v>85</v>
      </c>
      <c r="E5" s="252"/>
      <c r="F5" s="255"/>
      <c r="G5" s="256"/>
      <c r="H5" s="256"/>
      <c r="I5" s="257"/>
    </row>
    <row r="6" spans="1:9" ht="12.75" customHeight="1">
      <c r="A6" s="131" t="s">
        <v>53</v>
      </c>
      <c r="B6" s="251" t="str">
        <f>B5&amp;"_"&amp;"Test Report"&amp;"_"&amp;"vx.x"</f>
        <v>SWT301_Lab1_Test Report_vx.x</v>
      </c>
      <c r="C6" s="251"/>
      <c r="D6" s="252" t="s">
        <v>52</v>
      </c>
      <c r="E6" s="252"/>
      <c r="F6" s="248" t="s">
        <v>86</v>
      </c>
      <c r="G6" s="249"/>
      <c r="H6" s="249"/>
      <c r="I6" s="250"/>
    </row>
    <row r="7" spans="1:9" ht="15.75" customHeight="1">
      <c r="A7" s="131" t="s">
        <v>87</v>
      </c>
      <c r="B7" s="253" t="s">
        <v>88</v>
      </c>
      <c r="C7" s="253"/>
      <c r="D7" s="253"/>
      <c r="E7" s="253"/>
      <c r="F7" s="253"/>
      <c r="G7" s="253"/>
      <c r="H7" s="253"/>
      <c r="I7" s="253"/>
    </row>
    <row r="8" spans="1:9" ht="14.25" customHeight="1">
      <c r="A8" s="60"/>
      <c r="B8" s="61"/>
      <c r="C8" s="58"/>
      <c r="D8" s="58"/>
      <c r="E8" s="58"/>
      <c r="F8" s="58"/>
      <c r="G8" s="58"/>
      <c r="H8" s="58"/>
      <c r="I8" s="59"/>
    </row>
    <row r="9" spans="1:9">
      <c r="A9" s="60"/>
      <c r="B9" s="61"/>
      <c r="C9" s="58"/>
      <c r="D9" s="58"/>
      <c r="E9" s="58"/>
      <c r="F9" s="58"/>
      <c r="G9" s="58"/>
      <c r="H9" s="58"/>
      <c r="I9" s="59"/>
    </row>
    <row r="11" spans="1:9" ht="14.25" customHeight="1">
      <c r="A11" s="62" t="s">
        <v>69</v>
      </c>
      <c r="B11" s="63" t="s">
        <v>89</v>
      </c>
      <c r="C11" s="64" t="s">
        <v>90</v>
      </c>
      <c r="D11" s="63" t="s">
        <v>91</v>
      </c>
      <c r="E11" s="65" t="s">
        <v>92</v>
      </c>
      <c r="F11" s="65" t="s">
        <v>93</v>
      </c>
      <c r="G11" s="65" t="s">
        <v>94</v>
      </c>
      <c r="H11" s="65" t="s">
        <v>95</v>
      </c>
      <c r="I11" s="66" t="s">
        <v>96</v>
      </c>
    </row>
    <row r="12" spans="1:9">
      <c r="A12" s="67">
        <v>1</v>
      </c>
      <c r="B12" s="127" t="s">
        <v>97</v>
      </c>
      <c r="C12" s="68">
        <f>'Calculate Allocation'!A7</f>
        <v>10</v>
      </c>
      <c r="D12" s="68">
        <f>'Calculate Allocation'!C7</f>
        <v>5</v>
      </c>
      <c r="E12" s="68">
        <f>'Calculate Allocation'!F7</f>
        <v>0</v>
      </c>
      <c r="F12" s="69">
        <f>'Calculate Allocation'!L7</f>
        <v>10</v>
      </c>
      <c r="G12" s="68">
        <f>'Calculate Allocation'!M7</f>
        <v>3</v>
      </c>
      <c r="H12" s="68">
        <f>'Calculate Allocation'!N7</f>
        <v>2</v>
      </c>
      <c r="I12" s="68">
        <f>'Calculate Allocation'!O7</f>
        <v>15</v>
      </c>
    </row>
    <row r="13" spans="1:9">
      <c r="A13" s="67">
        <v>2</v>
      </c>
      <c r="B13" s="127" t="s">
        <v>98</v>
      </c>
      <c r="C13" s="68">
        <f>'Calculate Allocation'!A7</f>
        <v>10</v>
      </c>
      <c r="D13" s="68">
        <f>'Calculate Allocation'!C7</f>
        <v>5</v>
      </c>
      <c r="E13" s="68">
        <f>'Calculate Allocation'!F7</f>
        <v>0</v>
      </c>
      <c r="F13" s="69">
        <f>'Calculate Allocation'!L7</f>
        <v>10</v>
      </c>
      <c r="G13" s="68">
        <f>'Calculate Allocation'!M7</f>
        <v>3</v>
      </c>
      <c r="H13" s="68">
        <f>'Calculate Allocation'!N7</f>
        <v>2</v>
      </c>
      <c r="I13" s="68">
        <f>'Calculate Allocation'!O7</f>
        <v>15</v>
      </c>
    </row>
    <row r="14" spans="1:9">
      <c r="A14" s="67">
        <v>3</v>
      </c>
      <c r="B14" s="127" t="s">
        <v>99</v>
      </c>
      <c r="C14" s="68" t="e">
        <f>#REF!</f>
        <v>#REF!</v>
      </c>
      <c r="D14" s="68" t="e">
        <f>#REF!</f>
        <v>#REF!</v>
      </c>
      <c r="E14" s="68" t="e">
        <f>#REF!</f>
        <v>#REF!</v>
      </c>
      <c r="F14" s="69" t="e">
        <f>#REF!</f>
        <v>#REF!</v>
      </c>
      <c r="G14" s="68" t="e">
        <f>#REF!</f>
        <v>#REF!</v>
      </c>
      <c r="H14" s="68" t="e">
        <f>#REF!</f>
        <v>#REF!</v>
      </c>
      <c r="I14" s="68" t="e">
        <f>#REF!</f>
        <v>#REF!</v>
      </c>
    </row>
    <row r="15" spans="1:9" ht="14.1">
      <c r="A15" s="67"/>
      <c r="B15" s="125"/>
      <c r="C15" s="68"/>
      <c r="D15" s="68"/>
      <c r="E15" s="68"/>
      <c r="F15" s="69"/>
      <c r="G15" s="68"/>
      <c r="H15" s="68"/>
      <c r="I15" s="68"/>
    </row>
    <row r="16" spans="1:9" ht="14.1">
      <c r="A16" s="67"/>
      <c r="B16" s="125"/>
      <c r="C16" s="68"/>
      <c r="D16" s="68"/>
      <c r="E16" s="68"/>
      <c r="F16" s="69"/>
      <c r="G16" s="68"/>
      <c r="H16" s="68"/>
      <c r="I16" s="68"/>
    </row>
    <row r="17" spans="1:9" ht="14.1">
      <c r="A17" s="70"/>
      <c r="B17" s="126" t="s">
        <v>100</v>
      </c>
      <c r="C17" s="71" t="e">
        <f t="shared" ref="C17:I17" si="0">SUM(C10:C16)</f>
        <v>#REF!</v>
      </c>
      <c r="D17" s="71" t="e">
        <f t="shared" si="0"/>
        <v>#REF!</v>
      </c>
      <c r="E17" s="71" t="e">
        <f t="shared" si="0"/>
        <v>#REF!</v>
      </c>
      <c r="F17" s="71" t="e">
        <f t="shared" si="0"/>
        <v>#REF!</v>
      </c>
      <c r="G17" s="71" t="e">
        <f t="shared" si="0"/>
        <v>#REF!</v>
      </c>
      <c r="H17" s="71" t="e">
        <f t="shared" si="0"/>
        <v>#REF!</v>
      </c>
      <c r="I17" s="71" t="e">
        <f t="shared" si="0"/>
        <v>#REF!</v>
      </c>
    </row>
    <row r="18" spans="1:9">
      <c r="A18" s="72"/>
      <c r="C18" s="73"/>
      <c r="D18" s="74"/>
      <c r="E18" s="74"/>
      <c r="F18" s="74"/>
      <c r="G18" s="74"/>
      <c r="H18" s="74"/>
      <c r="I18" s="74"/>
    </row>
    <row r="19" spans="1:9">
      <c r="B19" s="132" t="s">
        <v>101</v>
      </c>
      <c r="D19" s="133" t="e">
        <f>(C17+D17)*100/(I17)</f>
        <v>#REF!</v>
      </c>
      <c r="E19" s="6" t="s">
        <v>102</v>
      </c>
      <c r="I19" s="75"/>
    </row>
    <row r="20" spans="1:9">
      <c r="B20" s="132" t="s">
        <v>103</v>
      </c>
      <c r="D20" s="133" t="e">
        <f>C17*100/(I17)</f>
        <v>#REF!</v>
      </c>
      <c r="E20" s="6" t="s">
        <v>102</v>
      </c>
      <c r="I20" s="75"/>
    </row>
    <row r="21" spans="1:9">
      <c r="B21" s="132" t="s">
        <v>104</v>
      </c>
      <c r="D21" s="133" t="e">
        <f>F17*100/I17</f>
        <v>#REF!</v>
      </c>
      <c r="E21" s="6" t="s">
        <v>102</v>
      </c>
    </row>
    <row r="22" spans="1:9">
      <c r="B22" s="132" t="s">
        <v>105</v>
      </c>
      <c r="D22" s="133" t="e">
        <f>G17*100/I17</f>
        <v>#REF!</v>
      </c>
      <c r="E22" s="6" t="s">
        <v>102</v>
      </c>
    </row>
    <row r="23" spans="1:9">
      <c r="B23" s="132" t="s">
        <v>106</v>
      </c>
      <c r="D23" s="133" t="e">
        <f>H17*100/I17</f>
        <v>#REF!</v>
      </c>
      <c r="E23" s="6" t="s">
        <v>102</v>
      </c>
    </row>
  </sheetData>
  <mergeCells count="11"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  <mergeCell ref="F5:I5"/>
  </mergeCells>
  <phoneticPr fontId="0" type="noConversion"/>
  <hyperlinks>
    <hyperlink ref="B12" location="Function1!A1" display="Function1" xr:uid="{00000000-0004-0000-0300-000000000000}"/>
    <hyperlink ref="B13" location="Function2!A1" display="Function2" xr:uid="{00000000-0004-0000-0300-000001000000}"/>
    <hyperlink ref="B14" location="Function2!A1" display="Function2" xr:uid="{00000000-0004-0000-0300-000002000000}"/>
  </hyperlinks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9"/>
  <sheetViews>
    <sheetView zoomScale="181" workbookViewId="0">
      <pane ySplit="9" topLeftCell="A25" activePane="bottomLeft" state="frozen"/>
      <selection pane="bottomLeft" activeCell="B36" sqref="B36"/>
    </sheetView>
  </sheetViews>
  <sheetFormatPr defaultColWidth="9" defaultRowHeight="13.5" customHeight="1"/>
  <cols>
    <col min="1" max="1" width="8.140625" style="76" customWidth="1"/>
    <col min="2" max="2" width="13.28515625" style="80" customWidth="1"/>
    <col min="3" max="3" width="10.85546875" style="76" customWidth="1"/>
    <col min="4" max="4" width="17.42578125" style="77" customWidth="1"/>
    <col min="5" max="5" width="1.85546875" style="76" hidden="1" customWidth="1"/>
    <col min="6" max="7" width="2.85546875" style="76" bestFit="1" customWidth="1"/>
    <col min="8" max="8" width="2.85546875" style="76" customWidth="1"/>
    <col min="9" max="10" width="2.85546875" style="76" bestFit="1" customWidth="1"/>
    <col min="11" max="19" width="2.85546875" style="76" customWidth="1"/>
    <col min="20" max="20" width="2.85546875" style="76" bestFit="1" customWidth="1"/>
    <col min="21" max="21" width="2.85546875" style="76" customWidth="1"/>
    <col min="22" max="16384" width="9" style="76"/>
  </cols>
  <sheetData>
    <row r="1" spans="1:22" ht="22.5" customHeight="1" thickBot="1">
      <c r="D1" s="128"/>
    </row>
    <row r="2" spans="1:22" ht="15" customHeight="1">
      <c r="A2" s="194" t="s">
        <v>107</v>
      </c>
      <c r="B2" s="195"/>
      <c r="C2" s="202"/>
      <c r="D2" s="203"/>
      <c r="E2" s="129"/>
      <c r="F2" s="195" t="s">
        <v>72</v>
      </c>
      <c r="G2" s="195"/>
      <c r="H2" s="195"/>
      <c r="I2" s="195"/>
      <c r="J2" s="195"/>
      <c r="K2" s="195"/>
      <c r="L2" s="199" t="s">
        <v>81</v>
      </c>
      <c r="M2" s="200"/>
      <c r="N2" s="200"/>
      <c r="O2" s="200"/>
      <c r="P2" s="200"/>
      <c r="Q2" s="200"/>
      <c r="R2" s="200"/>
      <c r="S2" s="200"/>
      <c r="T2" s="201"/>
    </row>
    <row r="3" spans="1:22" ht="13.5" customHeight="1">
      <c r="A3" s="181" t="s">
        <v>108</v>
      </c>
      <c r="B3" s="182"/>
      <c r="C3" s="178" t="s">
        <v>49</v>
      </c>
      <c r="D3" s="179"/>
      <c r="E3" s="180"/>
      <c r="F3" s="209" t="s">
        <v>109</v>
      </c>
      <c r="G3" s="210"/>
      <c r="H3" s="210"/>
      <c r="I3" s="210"/>
      <c r="J3" s="210"/>
      <c r="K3" s="211"/>
      <c r="L3" s="223" t="s">
        <v>49</v>
      </c>
      <c r="M3" s="224"/>
      <c r="N3" s="224"/>
      <c r="O3" s="224"/>
      <c r="P3" s="224"/>
      <c r="Q3" s="224"/>
      <c r="R3" s="224"/>
      <c r="S3" s="224"/>
      <c r="T3" s="225"/>
    </row>
    <row r="4" spans="1:22" ht="13.5" customHeight="1">
      <c r="A4" s="183" t="s">
        <v>110</v>
      </c>
      <c r="B4" s="184"/>
      <c r="C4" s="185">
        <v>300</v>
      </c>
      <c r="D4" s="186"/>
      <c r="E4" s="165"/>
      <c r="F4" s="216" t="s">
        <v>111</v>
      </c>
      <c r="G4" s="217"/>
      <c r="H4" s="217"/>
      <c r="I4" s="217"/>
      <c r="J4" s="217"/>
      <c r="K4" s="218"/>
      <c r="L4" s="212">
        <f xml:space="preserve"> IF(Functions!E6&lt;&gt;"N/A",SUM(C4*Functions!E6/1000,- O7),"N/A")</f>
        <v>-12.3</v>
      </c>
      <c r="M4" s="213"/>
      <c r="N4" s="213"/>
      <c r="O4" s="213"/>
      <c r="P4" s="213"/>
      <c r="Q4" s="213"/>
      <c r="R4" s="213"/>
      <c r="S4" s="213"/>
      <c r="T4" s="214"/>
      <c r="V4" s="78"/>
    </row>
    <row r="5" spans="1:22" ht="13.5" customHeight="1">
      <c r="A5" s="183" t="s">
        <v>112</v>
      </c>
      <c r="B5" s="184"/>
      <c r="C5" s="221" t="s">
        <v>113</v>
      </c>
      <c r="D5" s="221"/>
      <c r="E5" s="221"/>
      <c r="F5" s="222"/>
      <c r="G5" s="222"/>
      <c r="H5" s="222"/>
      <c r="I5" s="222"/>
      <c r="J5" s="222"/>
      <c r="K5" s="222"/>
      <c r="L5" s="221"/>
      <c r="M5" s="221"/>
      <c r="N5" s="221"/>
      <c r="O5" s="221"/>
      <c r="P5" s="221"/>
      <c r="Q5" s="221"/>
      <c r="R5" s="221"/>
      <c r="S5" s="221"/>
      <c r="T5" s="221"/>
    </row>
    <row r="6" spans="1:22" ht="13.5" customHeight="1">
      <c r="A6" s="188" t="s">
        <v>90</v>
      </c>
      <c r="B6" s="189"/>
      <c r="C6" s="207" t="s">
        <v>91</v>
      </c>
      <c r="D6" s="205"/>
      <c r="E6" s="208"/>
      <c r="F6" s="207" t="s">
        <v>92</v>
      </c>
      <c r="G6" s="205"/>
      <c r="H6" s="205"/>
      <c r="I6" s="205"/>
      <c r="J6" s="205"/>
      <c r="K6" s="215"/>
      <c r="L6" s="205" t="s">
        <v>114</v>
      </c>
      <c r="M6" s="205"/>
      <c r="N6" s="205"/>
      <c r="O6" s="204" t="s">
        <v>96</v>
      </c>
      <c r="P6" s="205"/>
      <c r="Q6" s="205"/>
      <c r="R6" s="205"/>
      <c r="S6" s="205"/>
      <c r="T6" s="206"/>
      <c r="V6" s="78"/>
    </row>
    <row r="7" spans="1:22" ht="13.5" customHeight="1" thickBot="1">
      <c r="A7" s="174">
        <f>COUNTIF(F37:HQ37,"P")</f>
        <v>10</v>
      </c>
      <c r="B7" s="175"/>
      <c r="C7" s="219">
        <f>COUNTIF(F37:HQ37,"F")</f>
        <v>5</v>
      </c>
      <c r="D7" s="197"/>
      <c r="E7" s="175"/>
      <c r="F7" s="219">
        <f>SUM(O7,- A7,- C7)</f>
        <v>0</v>
      </c>
      <c r="G7" s="197"/>
      <c r="H7" s="197"/>
      <c r="I7" s="197"/>
      <c r="J7" s="197"/>
      <c r="K7" s="220"/>
      <c r="L7" s="166">
        <f>COUNTIF(E36:HQ36,"N")</f>
        <v>10</v>
      </c>
      <c r="M7" s="166">
        <f>COUNTIF(E36:HQ36,"A")</f>
        <v>3</v>
      </c>
      <c r="N7" s="166">
        <f>COUNTIF(E36:HQ36,"B")</f>
        <v>2</v>
      </c>
      <c r="O7" s="196">
        <f>COUNTA(E9:HT9)</f>
        <v>15</v>
      </c>
      <c r="P7" s="197"/>
      <c r="Q7" s="197"/>
      <c r="R7" s="197"/>
      <c r="S7" s="197"/>
      <c r="T7" s="198"/>
      <c r="U7" s="79"/>
    </row>
    <row r="8" spans="1:22" ht="12" thickBot="1">
      <c r="D8" s="168"/>
    </row>
    <row r="9" spans="1:22" ht="45" thickTop="1" thickBot="1">
      <c r="A9" s="148"/>
      <c r="B9" s="149"/>
      <c r="C9" s="150"/>
      <c r="D9" s="151"/>
      <c r="E9" s="150"/>
      <c r="F9" s="152" t="s">
        <v>115</v>
      </c>
      <c r="G9" s="152" t="s">
        <v>116</v>
      </c>
      <c r="H9" s="152" t="s">
        <v>117</v>
      </c>
      <c r="I9" s="152" t="s">
        <v>118</v>
      </c>
      <c r="J9" s="152" t="s">
        <v>119</v>
      </c>
      <c r="K9" s="152" t="s">
        <v>120</v>
      </c>
      <c r="L9" s="152" t="s">
        <v>121</v>
      </c>
      <c r="M9" s="152" t="s">
        <v>122</v>
      </c>
      <c r="N9" s="152" t="s">
        <v>123</v>
      </c>
      <c r="O9" s="152" t="s">
        <v>124</v>
      </c>
      <c r="P9" s="152" t="s">
        <v>125</v>
      </c>
      <c r="Q9" s="152" t="s">
        <v>126</v>
      </c>
      <c r="R9" s="152" t="s">
        <v>127</v>
      </c>
      <c r="S9" s="152" t="s">
        <v>128</v>
      </c>
      <c r="T9" s="153" t="s">
        <v>129</v>
      </c>
      <c r="U9" s="81"/>
      <c r="V9" s="78"/>
    </row>
    <row r="10" spans="1:22" ht="13.5" customHeight="1">
      <c r="A10" s="145" t="s">
        <v>130</v>
      </c>
      <c r="B10" s="82" t="s">
        <v>131</v>
      </c>
      <c r="C10" s="83"/>
      <c r="D10" s="84"/>
      <c r="E10" s="85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154"/>
    </row>
    <row r="11" spans="1:22" ht="13.5" customHeight="1">
      <c r="A11" s="138"/>
      <c r="B11" s="226" t="s">
        <v>132</v>
      </c>
      <c r="C11" s="227"/>
      <c r="D11" s="228"/>
      <c r="E11" s="87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154"/>
      <c r="V11" s="78"/>
    </row>
    <row r="12" spans="1:22" ht="13.5" customHeight="1">
      <c r="A12" s="138"/>
      <c r="B12" s="82"/>
      <c r="C12" s="83"/>
      <c r="D12" s="84"/>
      <c r="E12" s="87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154"/>
    </row>
    <row r="13" spans="1:22" ht="13.5" customHeight="1">
      <c r="A13" s="138"/>
      <c r="B13" s="82"/>
      <c r="C13" s="83"/>
      <c r="D13" s="84"/>
      <c r="E13" s="88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154"/>
      <c r="V13" s="78"/>
    </row>
    <row r="14" spans="1:22" ht="13.5" customHeight="1">
      <c r="A14" s="138"/>
      <c r="B14" s="82" t="s">
        <v>133</v>
      </c>
      <c r="C14" s="83"/>
      <c r="D14" s="84"/>
      <c r="E14" s="89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154"/>
    </row>
    <row r="15" spans="1:22" ht="13.5" customHeight="1">
      <c r="A15" s="138"/>
      <c r="B15" s="82"/>
      <c r="C15" s="83"/>
      <c r="D15" s="84">
        <v>21</v>
      </c>
      <c r="E15" s="89"/>
      <c r="F15" s="86"/>
      <c r="G15" s="86"/>
      <c r="H15" s="86"/>
      <c r="I15" s="86"/>
      <c r="J15" s="86"/>
      <c r="K15" s="86" t="s">
        <v>134</v>
      </c>
      <c r="L15" s="86"/>
      <c r="M15" s="86"/>
      <c r="N15" s="86"/>
      <c r="O15" s="86"/>
      <c r="P15" s="86"/>
      <c r="Q15" s="86"/>
      <c r="R15" s="86"/>
      <c r="S15" s="86"/>
      <c r="T15" s="154"/>
    </row>
    <row r="16" spans="1:22" ht="13.5" customHeight="1">
      <c r="A16" s="138"/>
      <c r="B16" s="82"/>
      <c r="C16" s="83"/>
      <c r="D16" s="84">
        <v>10</v>
      </c>
      <c r="E16" s="89"/>
      <c r="F16" s="86"/>
      <c r="G16" s="86"/>
      <c r="H16" s="86"/>
      <c r="I16" s="86" t="s">
        <v>134</v>
      </c>
      <c r="J16" s="86" t="s">
        <v>134</v>
      </c>
      <c r="K16" s="86"/>
      <c r="L16" s="86"/>
      <c r="M16" s="86"/>
      <c r="N16" s="86"/>
      <c r="O16" s="86"/>
      <c r="P16" s="86"/>
      <c r="Q16" s="86"/>
      <c r="R16" s="86"/>
      <c r="S16" s="86"/>
      <c r="T16" s="154"/>
    </row>
    <row r="17" spans="1:21" ht="13.5" customHeight="1">
      <c r="A17" s="138"/>
      <c r="B17" s="82"/>
      <c r="C17" s="83"/>
      <c r="D17" s="84">
        <v>100</v>
      </c>
      <c r="E17" s="89"/>
      <c r="F17" s="86"/>
      <c r="G17" s="86"/>
      <c r="H17" s="86" t="s">
        <v>134</v>
      </c>
      <c r="I17" s="86"/>
      <c r="J17" s="86"/>
      <c r="K17" s="86"/>
      <c r="L17" s="86" t="s">
        <v>134</v>
      </c>
      <c r="M17" s="86"/>
      <c r="N17" s="86"/>
      <c r="O17" s="86"/>
      <c r="P17" s="86"/>
      <c r="Q17" s="86"/>
      <c r="R17" s="86"/>
      <c r="S17" s="86"/>
      <c r="T17" s="154"/>
    </row>
    <row r="18" spans="1:21" ht="13.5" customHeight="1">
      <c r="A18" s="138"/>
      <c r="B18" s="82"/>
      <c r="C18" s="83"/>
      <c r="D18" s="84" t="s">
        <v>135</v>
      </c>
      <c r="E18" s="89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154"/>
      <c r="U18" s="90"/>
    </row>
    <row r="19" spans="1:21" ht="13.5" customHeight="1">
      <c r="A19" s="138"/>
      <c r="B19" s="82"/>
      <c r="C19" s="83"/>
      <c r="D19" s="84">
        <v>101</v>
      </c>
      <c r="E19" s="89"/>
      <c r="F19" s="86"/>
      <c r="G19" s="86" t="s">
        <v>134</v>
      </c>
      <c r="H19" s="86"/>
      <c r="I19" s="86"/>
      <c r="J19" s="86"/>
      <c r="K19" s="86"/>
      <c r="L19" s="86"/>
      <c r="M19" s="86" t="s">
        <v>134</v>
      </c>
      <c r="N19" s="86"/>
      <c r="O19" s="86"/>
      <c r="P19" s="86"/>
      <c r="Q19" s="86"/>
      <c r="R19" s="86"/>
      <c r="S19" s="86"/>
      <c r="T19" s="154"/>
      <c r="U19" s="90"/>
    </row>
    <row r="20" spans="1:21" ht="13.5" customHeight="1">
      <c r="A20" s="138"/>
      <c r="B20" s="82"/>
      <c r="C20" s="83"/>
      <c r="D20" s="84">
        <v>-1</v>
      </c>
      <c r="E20" s="89"/>
      <c r="F20" s="86" t="s">
        <v>134</v>
      </c>
      <c r="G20" s="86"/>
      <c r="H20" s="86"/>
      <c r="I20" s="86"/>
      <c r="J20" s="86"/>
      <c r="K20" s="86"/>
      <c r="L20" s="86"/>
      <c r="M20" s="86"/>
      <c r="N20" s="86" t="s">
        <v>134</v>
      </c>
      <c r="O20" s="86"/>
      <c r="P20" s="86"/>
      <c r="Q20" s="86"/>
      <c r="R20" s="86"/>
      <c r="S20" s="86"/>
      <c r="T20" s="154"/>
      <c r="U20" s="90"/>
    </row>
    <row r="21" spans="1:21" ht="13.5" customHeight="1">
      <c r="A21" s="138"/>
      <c r="B21" s="82" t="s">
        <v>136</v>
      </c>
      <c r="C21" s="83"/>
      <c r="D21" s="84"/>
      <c r="E21" s="89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154"/>
      <c r="U21" s="90"/>
    </row>
    <row r="22" spans="1:21" ht="13.5" customHeight="1">
      <c r="A22" s="138"/>
      <c r="B22" s="82"/>
      <c r="C22" s="83"/>
      <c r="D22" s="160" t="s">
        <v>137</v>
      </c>
      <c r="E22" s="89"/>
      <c r="F22" s="86" t="s">
        <v>134</v>
      </c>
      <c r="G22" s="86" t="s">
        <v>134</v>
      </c>
      <c r="H22" s="86" t="s">
        <v>134</v>
      </c>
      <c r="I22" s="86" t="s">
        <v>134</v>
      </c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154"/>
      <c r="U22" s="90"/>
    </row>
    <row r="23" spans="1:21" ht="13.5" customHeight="1">
      <c r="A23" s="138"/>
      <c r="B23" s="82"/>
      <c r="C23" s="83"/>
      <c r="D23" s="187" t="s">
        <v>138</v>
      </c>
      <c r="E23" s="187"/>
      <c r="F23" s="86"/>
      <c r="G23" s="86"/>
      <c r="H23" s="86"/>
      <c r="I23" s="86"/>
      <c r="J23" s="86" t="s">
        <v>134</v>
      </c>
      <c r="K23" s="86" t="s">
        <v>134</v>
      </c>
      <c r="L23" s="86" t="s">
        <v>134</v>
      </c>
      <c r="M23" s="86" t="s">
        <v>134</v>
      </c>
      <c r="N23" s="86" t="s">
        <v>134</v>
      </c>
      <c r="O23" s="86"/>
      <c r="P23" s="86"/>
      <c r="Q23" s="86"/>
      <c r="R23" s="86"/>
      <c r="S23" s="86"/>
      <c r="T23" s="154"/>
    </row>
    <row r="24" spans="1:21" ht="13.5" customHeight="1">
      <c r="A24" s="144" t="s">
        <v>139</v>
      </c>
      <c r="B24" s="91" t="s">
        <v>140</v>
      </c>
      <c r="C24" s="92"/>
      <c r="D24" s="164"/>
      <c r="E24" s="93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155"/>
    </row>
    <row r="25" spans="1:21" ht="13.5" customHeight="1">
      <c r="A25" s="143"/>
      <c r="B25" s="229" t="s">
        <v>141</v>
      </c>
      <c r="C25" s="230"/>
      <c r="D25" s="231"/>
      <c r="E25" s="97"/>
      <c r="F25" s="86"/>
      <c r="G25" s="86"/>
      <c r="H25" s="86"/>
      <c r="I25" s="86"/>
      <c r="J25" s="86" t="s">
        <v>134</v>
      </c>
      <c r="K25" s="86"/>
      <c r="L25" s="86"/>
      <c r="M25" s="86"/>
      <c r="N25" s="86"/>
      <c r="O25" s="86"/>
      <c r="P25" s="86"/>
      <c r="Q25" s="86"/>
      <c r="R25" s="86"/>
      <c r="S25" s="86"/>
      <c r="T25" s="154"/>
    </row>
    <row r="26" spans="1:21" ht="13.5" customHeight="1">
      <c r="A26" s="143"/>
      <c r="B26" s="191" t="s">
        <v>142</v>
      </c>
      <c r="C26" s="192"/>
      <c r="D26" s="193"/>
      <c r="E26" s="99"/>
      <c r="F26" s="86"/>
      <c r="G26" s="86"/>
      <c r="H26" s="86"/>
      <c r="I26" s="86" t="s">
        <v>134</v>
      </c>
      <c r="J26" s="86"/>
      <c r="K26" s="86" t="s">
        <v>134</v>
      </c>
      <c r="L26" s="86" t="s">
        <v>134</v>
      </c>
      <c r="M26" s="86"/>
      <c r="N26" s="86"/>
      <c r="O26" s="86"/>
      <c r="P26" s="86"/>
      <c r="Q26" s="86"/>
      <c r="R26" s="86"/>
      <c r="S26" s="86"/>
      <c r="T26" s="154"/>
    </row>
    <row r="27" spans="1:21" ht="13.5" customHeight="1">
      <c r="A27" s="143"/>
      <c r="B27" s="191" t="s">
        <v>143</v>
      </c>
      <c r="C27" s="192"/>
      <c r="D27" s="193"/>
      <c r="E27" s="99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154"/>
    </row>
    <row r="28" spans="1:21" ht="13.5" customHeight="1">
      <c r="A28" s="143"/>
      <c r="B28" s="191" t="s">
        <v>144</v>
      </c>
      <c r="C28" s="192"/>
      <c r="D28" s="193"/>
      <c r="E28" s="99"/>
      <c r="F28" s="86"/>
      <c r="G28" s="86" t="s">
        <v>134</v>
      </c>
      <c r="H28" s="86" t="s">
        <v>134</v>
      </c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154"/>
    </row>
    <row r="29" spans="1:21" ht="13.5" customHeight="1">
      <c r="A29" s="143"/>
      <c r="B29" s="95" t="s">
        <v>145</v>
      </c>
      <c r="C29" s="98"/>
      <c r="D29" s="96"/>
      <c r="E29" s="99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154"/>
    </row>
    <row r="30" spans="1:21" ht="13.5" customHeight="1">
      <c r="A30" s="143"/>
      <c r="B30" s="191" t="s">
        <v>146</v>
      </c>
      <c r="C30" s="192"/>
      <c r="D30" s="193"/>
      <c r="E30" s="99"/>
      <c r="F30" s="86" t="s">
        <v>134</v>
      </c>
      <c r="G30" s="86"/>
      <c r="H30" s="86"/>
      <c r="I30" s="86"/>
      <c r="J30" s="86"/>
      <c r="K30" s="86"/>
      <c r="L30" s="86"/>
      <c r="M30" s="86"/>
      <c r="N30" s="86" t="s">
        <v>134</v>
      </c>
      <c r="O30" s="86"/>
      <c r="P30" s="86"/>
      <c r="Q30" s="86"/>
      <c r="R30" s="86"/>
      <c r="S30" s="86"/>
      <c r="T30" s="154"/>
    </row>
    <row r="31" spans="1:21" ht="13.5" customHeight="1">
      <c r="A31" s="143"/>
      <c r="B31" s="191" t="s">
        <v>147</v>
      </c>
      <c r="C31" s="192"/>
      <c r="D31" s="193"/>
      <c r="E31" s="99"/>
      <c r="F31" s="86"/>
      <c r="G31" s="86"/>
      <c r="H31" s="86"/>
      <c r="I31" s="86"/>
      <c r="J31" s="86"/>
      <c r="K31" s="86"/>
      <c r="L31" s="86"/>
      <c r="M31" s="86" t="s">
        <v>134</v>
      </c>
      <c r="N31" s="86"/>
      <c r="O31" s="86"/>
      <c r="P31" s="86"/>
      <c r="Q31" s="86"/>
      <c r="R31" s="86"/>
      <c r="S31" s="86"/>
      <c r="T31" s="154"/>
    </row>
    <row r="32" spans="1:21" ht="13.5" customHeight="1">
      <c r="A32" s="143"/>
      <c r="B32" s="191" t="s">
        <v>148</v>
      </c>
      <c r="C32" s="192"/>
      <c r="D32" s="193"/>
      <c r="E32" s="99"/>
      <c r="F32" s="86"/>
      <c r="G32" s="86" t="s">
        <v>134</v>
      </c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154"/>
    </row>
    <row r="33" spans="1:20" ht="13.5" customHeight="1">
      <c r="A33" s="143"/>
      <c r="B33" s="95" t="s">
        <v>149</v>
      </c>
      <c r="C33" s="98"/>
      <c r="D33" s="96"/>
      <c r="E33" s="99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154"/>
    </row>
    <row r="34" spans="1:20" ht="13.5" customHeight="1">
      <c r="A34" s="143"/>
      <c r="B34" s="95"/>
      <c r="C34" s="98"/>
      <c r="D34" s="96" t="s">
        <v>150</v>
      </c>
      <c r="E34" s="99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154"/>
    </row>
    <row r="35" spans="1:20" ht="13.5" customHeight="1" thickBot="1">
      <c r="A35" s="143"/>
      <c r="B35" s="134"/>
      <c r="C35" s="135"/>
      <c r="D35" s="136" t="s">
        <v>151</v>
      </c>
      <c r="E35" s="137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56"/>
    </row>
    <row r="36" spans="1:20" ht="13.5" customHeight="1" thickTop="1">
      <c r="A36" s="144" t="s">
        <v>152</v>
      </c>
      <c r="B36" s="177" t="s">
        <v>153</v>
      </c>
      <c r="C36" s="177"/>
      <c r="D36" s="177"/>
      <c r="E36" s="167"/>
      <c r="F36" s="147" t="s">
        <v>94</v>
      </c>
      <c r="G36" s="147" t="s">
        <v>95</v>
      </c>
      <c r="H36" s="147" t="s">
        <v>93</v>
      </c>
      <c r="I36" s="147" t="s">
        <v>93</v>
      </c>
      <c r="J36" s="147" t="s">
        <v>93</v>
      </c>
      <c r="K36" s="147" t="s">
        <v>95</v>
      </c>
      <c r="L36" s="147" t="s">
        <v>94</v>
      </c>
      <c r="M36" s="147" t="s">
        <v>93</v>
      </c>
      <c r="N36" s="147" t="s">
        <v>93</v>
      </c>
      <c r="O36" s="147" t="s">
        <v>93</v>
      </c>
      <c r="P36" s="147" t="s">
        <v>93</v>
      </c>
      <c r="Q36" s="147" t="s">
        <v>93</v>
      </c>
      <c r="R36" s="147" t="s">
        <v>94</v>
      </c>
      <c r="S36" s="147" t="s">
        <v>93</v>
      </c>
      <c r="T36" s="157" t="s">
        <v>93</v>
      </c>
    </row>
    <row r="37" spans="1:20" ht="13.5" customHeight="1">
      <c r="A37" s="143"/>
      <c r="B37" s="190" t="s">
        <v>154</v>
      </c>
      <c r="C37" s="190"/>
      <c r="D37" s="190"/>
      <c r="E37" s="101"/>
      <c r="F37" s="100" t="s">
        <v>155</v>
      </c>
      <c r="G37" s="100" t="s">
        <v>155</v>
      </c>
      <c r="H37" s="100" t="s">
        <v>156</v>
      </c>
      <c r="I37" s="100" t="s">
        <v>156</v>
      </c>
      <c r="J37" s="100" t="s">
        <v>156</v>
      </c>
      <c r="K37" s="100" t="s">
        <v>156</v>
      </c>
      <c r="L37" s="100" t="s">
        <v>156</v>
      </c>
      <c r="M37" s="100" t="s">
        <v>155</v>
      </c>
      <c r="N37" s="100" t="s">
        <v>155</v>
      </c>
      <c r="O37" s="100" t="s">
        <v>156</v>
      </c>
      <c r="P37" s="100" t="s">
        <v>156</v>
      </c>
      <c r="Q37" s="100" t="s">
        <v>156</v>
      </c>
      <c r="R37" s="100" t="s">
        <v>155</v>
      </c>
      <c r="S37" s="100" t="s">
        <v>156</v>
      </c>
      <c r="T37" s="158" t="s">
        <v>156</v>
      </c>
    </row>
    <row r="38" spans="1:20" ht="13.5" customHeight="1">
      <c r="A38" s="143"/>
      <c r="B38" s="173" t="s">
        <v>157</v>
      </c>
      <c r="C38" s="173"/>
      <c r="D38" s="173"/>
      <c r="E38" s="102"/>
      <c r="F38" s="103">
        <v>39139</v>
      </c>
      <c r="G38" s="103">
        <v>39139</v>
      </c>
      <c r="H38" s="103">
        <v>39140</v>
      </c>
      <c r="I38" s="103">
        <v>39141</v>
      </c>
      <c r="J38" s="103">
        <v>39142</v>
      </c>
      <c r="K38" s="103">
        <v>39143</v>
      </c>
      <c r="L38" s="103">
        <v>39144</v>
      </c>
      <c r="M38" s="103">
        <v>39145</v>
      </c>
      <c r="N38" s="103">
        <v>39146</v>
      </c>
      <c r="O38" s="103">
        <v>39147</v>
      </c>
      <c r="P38" s="103">
        <v>39148</v>
      </c>
      <c r="Q38" s="103">
        <v>39149</v>
      </c>
      <c r="R38" s="103">
        <v>39150</v>
      </c>
      <c r="S38" s="103">
        <v>39151</v>
      </c>
      <c r="T38" s="139">
        <v>39152</v>
      </c>
    </row>
    <row r="39" spans="1:20" ht="80.099999999999994" thickBot="1">
      <c r="A39" s="159"/>
      <c r="B39" s="176" t="s">
        <v>158</v>
      </c>
      <c r="C39" s="176"/>
      <c r="D39" s="176"/>
      <c r="E39" s="140"/>
      <c r="F39" s="141"/>
      <c r="G39" s="141"/>
      <c r="H39" s="141"/>
      <c r="I39" s="141"/>
      <c r="J39" s="141"/>
      <c r="K39" s="141" t="s">
        <v>159</v>
      </c>
      <c r="L39" s="141" t="s">
        <v>160</v>
      </c>
      <c r="M39" s="141" t="s">
        <v>161</v>
      </c>
      <c r="N39" s="141" t="s">
        <v>162</v>
      </c>
      <c r="O39" s="141" t="s">
        <v>163</v>
      </c>
      <c r="P39" s="141" t="s">
        <v>164</v>
      </c>
      <c r="Q39" s="141" t="s">
        <v>165</v>
      </c>
      <c r="R39" s="141" t="s">
        <v>166</v>
      </c>
      <c r="S39" s="141" t="s">
        <v>167</v>
      </c>
      <c r="T39" s="142" t="s">
        <v>168</v>
      </c>
    </row>
    <row r="40" spans="1:20" ht="12" thickTop="1">
      <c r="A40" s="80"/>
      <c r="B40" s="76"/>
      <c r="C40" s="168"/>
      <c r="D40" s="76"/>
    </row>
    <row r="41" spans="1:20" ht="13.5" customHeight="1">
      <c r="D41" s="168"/>
    </row>
    <row r="42" spans="1:20" ht="13.5" customHeight="1">
      <c r="D42" s="168"/>
    </row>
    <row r="43" spans="1:20" ht="13.5" customHeight="1">
      <c r="D43" s="168"/>
    </row>
    <row r="44" spans="1:20" ht="13.5" customHeight="1">
      <c r="D44" s="168"/>
    </row>
    <row r="45" spans="1:20" ht="13.5" customHeight="1">
      <c r="D45" s="168"/>
    </row>
    <row r="46" spans="1:20" ht="13.5" customHeight="1">
      <c r="D46" s="168"/>
    </row>
    <row r="47" spans="1:20" ht="13.5" customHeight="1">
      <c r="D47" s="168"/>
    </row>
    <row r="48" spans="1:20" ht="13.5" customHeight="1">
      <c r="D48" s="168"/>
    </row>
    <row r="49" spans="4:4" ht="13.5" customHeight="1">
      <c r="D49" s="168"/>
    </row>
    <row r="50" spans="4:4" ht="13.5" customHeight="1">
      <c r="D50" s="168"/>
    </row>
    <row r="51" spans="4:4" ht="13.5" customHeight="1">
      <c r="D51" s="168"/>
    </row>
    <row r="52" spans="4:4" ht="13.5" customHeight="1">
      <c r="D52" s="168"/>
    </row>
    <row r="53" spans="4:4" ht="13.5" customHeight="1">
      <c r="D53" s="168"/>
    </row>
    <row r="54" spans="4:4" ht="13.5" customHeight="1">
      <c r="D54" s="168"/>
    </row>
    <row r="55" spans="4:4" ht="13.5" customHeight="1">
      <c r="D55" s="168"/>
    </row>
    <row r="56" spans="4:4" ht="13.5" customHeight="1">
      <c r="D56" s="168"/>
    </row>
    <row r="57" spans="4:4" ht="13.5" customHeight="1">
      <c r="D57" s="168"/>
    </row>
    <row r="58" spans="4:4" ht="13.5" customHeight="1">
      <c r="D58" s="168"/>
    </row>
    <row r="59" spans="4:4" ht="13.5" customHeight="1">
      <c r="D59" s="168"/>
    </row>
  </sheetData>
  <mergeCells count="36">
    <mergeCell ref="B31:D31"/>
    <mergeCell ref="B26:D26"/>
    <mergeCell ref="B27:D27"/>
    <mergeCell ref="B28:D28"/>
    <mergeCell ref="A2:B2"/>
    <mergeCell ref="O7:T7"/>
    <mergeCell ref="F2:K2"/>
    <mergeCell ref="L2:T2"/>
    <mergeCell ref="C2:D2"/>
    <mergeCell ref="O6:T6"/>
    <mergeCell ref="C6:E6"/>
    <mergeCell ref="F3:K3"/>
    <mergeCell ref="L4:T4"/>
    <mergeCell ref="F6:K6"/>
    <mergeCell ref="F4:K4"/>
    <mergeCell ref="L6:N6"/>
    <mergeCell ref="F7:K7"/>
    <mergeCell ref="C7:E7"/>
    <mergeCell ref="C5:T5"/>
    <mergeCell ref="L3:T3"/>
    <mergeCell ref="B38:D38"/>
    <mergeCell ref="A7:B7"/>
    <mergeCell ref="B39:D39"/>
    <mergeCell ref="B36:D36"/>
    <mergeCell ref="C3:E3"/>
    <mergeCell ref="A3:B3"/>
    <mergeCell ref="A4:B4"/>
    <mergeCell ref="C4:D4"/>
    <mergeCell ref="D23:E23"/>
    <mergeCell ref="A6:B6"/>
    <mergeCell ref="B37:D37"/>
    <mergeCell ref="A5:B5"/>
    <mergeCell ref="B32:D32"/>
    <mergeCell ref="B11:D11"/>
    <mergeCell ref="B25:D25"/>
    <mergeCell ref="B30:D30"/>
  </mergeCells>
  <phoneticPr fontId="34" type="noConversion"/>
  <dataValidations count="3">
    <dataValidation type="list" allowBlank="1" showInputMessage="1" showErrorMessage="1" sqref="F36:T36" xr:uid="{00000000-0002-0000-0500-000000000000}">
      <formula1>"N,A,B, "</formula1>
    </dataValidation>
    <dataValidation type="list" allowBlank="1" showInputMessage="1" showErrorMessage="1" sqref="F37:T37" xr:uid="{00000000-0002-0000-0500-000001000000}">
      <formula1>"P,F, "</formula1>
    </dataValidation>
    <dataValidation type="list" allowBlank="1" showInputMessage="1" showErrorMessage="1" sqref="F10:T35" xr:uid="{00000000-0002-0000-0500-000002000000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FPT-Software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Hoang Anh</dc:creator>
  <cp:keywords/>
  <dc:description/>
  <cp:lastModifiedBy>Nhật Trương</cp:lastModifiedBy>
  <cp:revision/>
  <dcterms:created xsi:type="dcterms:W3CDTF">2007-10-09T09:39:48Z</dcterms:created>
  <dcterms:modified xsi:type="dcterms:W3CDTF">2026-06-11T14:29:54Z</dcterms:modified>
  <cp:category/>
  <cp:contentStatus/>
</cp:coreProperties>
</file>